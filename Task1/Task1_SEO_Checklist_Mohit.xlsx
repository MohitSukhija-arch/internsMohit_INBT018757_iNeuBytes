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1" activeTab="1"/>
  </bookViews>
  <sheets>
    <sheet name="Bulk Upload" sheetId="1" state="hidden" r:id="rId3"/>
    <sheet name="Dashboard" sheetId="2" state="visible" r:id="rId4"/>
    <sheet name="TASK 1" sheetId="3" state="visible" r:id="rId5"/>
    <sheet name="Website 1" sheetId="4" state="visible" r:id="rId6"/>
    <sheet name="Website 2" sheetId="5" state="visible" r:id="rId7"/>
    <sheet name="Website 3" sheetId="6" state="visible" r:id="rId8"/>
    <sheet name="MAJOR PROJECT" sheetId="7" state="visible" r:id="rId9"/>
    <sheet name="Competitors Sheet" sheetId="8" state="visible" r:id="rId10"/>
    <sheet name="Ads Sheet" sheetId="9" state="visible" r:id="rId11"/>
    <sheet name="Publish" sheetId="10" state="visible" r:id="rId12"/>
  </sheets>
  <externalReferences>
    <externalReference r:id="rId13"/>
  </externalReferences>
  <definedNames>
    <definedName function="false" hidden="false" name="accountOptions" vbProcedure="false">[1]Accounts!$A$3:$A$92</definedName>
    <definedName function="false" hidden="false" name="campaignOptions" vbProcedure="false">[1]Campaigns!$A$1:$A$21</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<sst xmlns="http://schemas.openxmlformats.org/spreadsheetml/2006/main" count="841" uniqueCount="376">
  <si>
    <t xml:space="preserve">iNeuBytes • SEO + Social Task Dashboard</t>
  </si>
  <si>
    <t xml:space="preserve">Site</t>
  </si>
  <si>
    <t xml:space="preserve">Items</t>
  </si>
  <si>
    <t xml:space="preserve">Issues (YES)</t>
  </si>
  <si>
    <t xml:space="preserve">Passed (NO)</t>
  </si>
  <si>
    <t xml:space="preserve">High Issues</t>
  </si>
  <si>
    <t xml:space="preserve">Completion %</t>
  </si>
  <si>
    <t xml:space="preserve">Website 1</t>
  </si>
  <si>
    <t xml:space="preserve">Website 2</t>
  </si>
  <si>
    <t xml:space="preserve">Website 3</t>
  </si>
  <si>
    <t xml:space="preserve">TOTAL</t>
  </si>
  <si>
    <t xml:space="preserve">Tip: fill in the YES/NO answers on each Website sheet — these totals update automatically.</t>
  </si>
  <si>
    <t xml:space="preserve">TASK 1</t>
  </si>
  <si>
    <t xml:space="preserve">Main Contact Name</t>
  </si>
  <si>
    <t xml:space="preserve">Customers support </t>
  </si>
  <si>
    <t xml:space="preserve">Facebook URL</t>
  </si>
  <si>
    <t xml:space="preserve">https://m.facebook.com/boat.lifestyle/</t>
  </si>
  <si>
    <t xml:space="preserve">Main Email Address</t>
  </si>
  <si>
    <t xml:space="preserve">support@boat-lifestyle.com</t>
  </si>
  <si>
    <t xml:space="preserve">Twitter URL</t>
  </si>
  <si>
    <t xml:space="preserve">https://x.com/RockWithboAt</t>
  </si>
  <si>
    <t xml:space="preserve">Business Name</t>
  </si>
  <si>
    <t xml:space="preserve">boAt</t>
  </si>
  <si>
    <t xml:space="preserve">Linkedin URL</t>
  </si>
  <si>
    <t xml:space="preserve">https://linkedin.com/company/boat-lifestyle</t>
  </si>
  <si>
    <t xml:space="preserve">Street adress</t>
  </si>
  <si>
    <t xml:space="preserve">Maker Chambers V, Nariman Point</t>
  </si>
  <si>
    <t xml:space="preserve">YouTube URL</t>
  </si>
  <si>
    <t xml:space="preserve">https://youtube.com/@boat-lifestyle?si=tg5WT2eVHwtmGCpk</t>
  </si>
  <si>
    <t xml:space="preserve">Country</t>
  </si>
  <si>
    <t xml:space="preserve">India </t>
  </si>
  <si>
    <t xml:space="preserve">Instagram URL</t>
  </si>
  <si>
    <t xml:space="preserve">https://www.instagram.com/boat.nirvana/</t>
  </si>
  <si>
    <t xml:space="preserve">City</t>
  </si>
  <si>
    <t xml:space="preserve">Mumbai</t>
  </si>
  <si>
    <t xml:space="preserve">Pinterest URL</t>
  </si>
  <si>
    <t xml:space="preserve">N/A</t>
  </si>
  <si>
    <t xml:space="preserve">Post Code</t>
  </si>
  <si>
    <t xml:space="preserve">3 competitors sites as per research</t>
  </si>
  <si>
    <t xml:space="preserve">Noise,boult,jbl</t>
  </si>
  <si>
    <t xml:space="preserve">State</t>
  </si>
  <si>
    <t xml:space="preserve">Maharashtra</t>
  </si>
  <si>
    <t xml:space="preserve">Keyword people search to find about business</t>
  </si>
  <si>
    <t xml:space="preserve">wireless earbuds, headphones, smartwatches,boat lifestyle </t>
  </si>
  <si>
    <t xml:space="preserve">Phone Number </t>
  </si>
  <si>
    <t xml:space="preserve">+91 22-66288000</t>
  </si>
  <si>
    <t xml:space="preserve">Products or servcies offered</t>
  </si>
  <si>
    <t xml:space="preserve">Earbuds, headphones, smartwatches, speakers</t>
  </si>
  <si>
    <t xml:space="preserve">Website Address</t>
  </si>
  <si>
    <t xml:space="preserve">https://www.boat-lifestyle.com/</t>
  </si>
  <si>
    <t xml:space="preserve">Payment Methods accepted</t>
  </si>
  <si>
    <t xml:space="preserve">UPI, Cards, Net Banking, Wallets, EMI</t>
  </si>
  <si>
    <t xml:space="preserve">Opening hours</t>
  </si>
  <si>
    <t xml:space="preserve">N/A(online store)</t>
  </si>
  <si>
    <t xml:space="preserve">Year Established</t>
  </si>
  <si>
    <t xml:space="preserve">November -2016
</t>
  </si>
  <si>
    <t xml:space="preserve">SEO CHECKLIST</t>
  </si>
  <si>
    <t xml:space="preserve">LIVE PROGRESS TRACKER</t>
  </si>
  <si>
    <t xml:space="preserve">PRIORITY</t>
  </si>
  <si>
    <t xml:space="preserve">NO.</t>
  </si>
  <si>
    <t xml:space="preserve">CHECKLIST</t>
  </si>
  <si>
    <t xml:space="preserve">ISSUE EXISTS (YES/NO)</t>
  </si>
  <si>
    <t xml:space="preserve">RESOURCES</t>
  </si>
  <si>
    <t xml:space="preserve">Total checklist items</t>
  </si>
  <si>
    <t xml:space="preserve">On-Page/Technical SEO Elements</t>
  </si>
  <si>
    <t xml:space="preserve">Answered</t>
  </si>
  <si>
    <t xml:space="preserve">LOW</t>
  </si>
  <si>
    <t xml:space="preserve">Is there single H1 heading for each page?</t>
  </si>
  <si>
    <t xml:space="preserve">YES</t>
  </si>
  <si>
    <t xml:space="preserve">SEOBILITY, UBERSUGGEST</t>
  </si>
  <si>
    <t xml:space="preserve">Issues found (YES)</t>
  </si>
  <si>
    <t xml:space="preserve">Have the H-tags, paragraphs been inserted in chronologically descending order?</t>
  </si>
  <si>
    <t xml:space="preserve">Does each URL have an individual meta description?</t>
  </si>
  <si>
    <t xml:space="preserve">High priority issues</t>
  </si>
  <si>
    <t xml:space="preserve">Are meta title unique for each page?</t>
  </si>
  <si>
    <t xml:space="preserve">Meta description are compelling and unique?</t>
  </si>
  <si>
    <t xml:space="preserve">Have you exhausted the maximum length of over 250 characters per description?</t>
  </si>
  <si>
    <t xml:space="preserve">NO</t>
  </si>
  <si>
    <t xml:space="preserve">Does the URL, meta-title and meta-description contain the focus keyword of the page?</t>
  </si>
  <si>
    <t xml:space="preserve">Used focus keyword in first paragraph?</t>
  </si>
  <si>
    <t xml:space="preserve">Are URLs as short as possible?</t>
  </si>
  <si>
    <t xml:space="preserve">MEDIUM</t>
  </si>
  <si>
    <t xml:space="preserve">Is the page speed optimized?</t>
  </si>
  <si>
    <t xml:space="preserve">Google Page Speed Insights</t>
  </si>
  <si>
    <t xml:space="preserve">Are image sizes optimized?</t>
  </si>
  <si>
    <t xml:space="preserve">Make your content easy to share (Social Share)</t>
  </si>
  <si>
    <t xml:space="preserve">Are redirections working properly?</t>
  </si>
  <si>
    <t xml:space="preserve">Small SEO Tools - REDIRECT CHECKER</t>
  </si>
  <si>
    <t xml:space="preserve">HIGH</t>
  </si>
  <si>
    <t xml:space="preserve">Check for broken links</t>
  </si>
  <si>
    <t xml:space="preserve">https://www.drlinkcheck.com/</t>
  </si>
  <si>
    <t xml:space="preserve">LOCAL SEO Elements</t>
  </si>
  <si>
    <t xml:space="preserve">Is business listed on Google my business</t>
  </si>
  <si>
    <t xml:space="preserve">Google my business</t>
  </si>
  <si>
    <t xml:space="preserve">Is business listed on Bing?</t>
  </si>
  <si>
    <t xml:space="preserve">Bing</t>
  </si>
  <si>
    <t xml:space="preserve">USER EXPERIENCE</t>
  </si>
  <si>
    <t xml:space="preserve">Do you have call to action?</t>
  </si>
  <si>
    <t xml:space="preserve">Website</t>
  </si>
  <si>
    <t xml:space="preserve">Is favicon aded?</t>
  </si>
  <si>
    <t xml:space="preserve">https://sitechecker.pro/what-is-favicon/</t>
  </si>
  <si>
    <t xml:space="preserve">Company location and contact information are  accessible from the homepage</t>
  </si>
  <si>
    <t xml:space="preserve">Do you have custom 404 page?</t>
  </si>
  <si>
    <t xml:space="preserve">No</t>
  </si>
  <si>
    <t xml:space="preserve">404page – your smart custom 404 error page</t>
  </si>
  <si>
    <t xml:space="preserve">Customers Support </t>
  </si>
  <si>
    <t xml:space="preserve">https://facebook.com/Gonoise</t>
  </si>
  <si>
    <t xml:space="preserve">support@goniose.com</t>
  </si>
  <si>
    <t xml:space="preserve">https://x.com/gonoise</t>
  </si>
  <si>
    <t xml:space="preserve">Noise</t>
  </si>
  <si>
    <t xml:space="preserve">https://linkedin.com/company/gonoise-com</t>
  </si>
  <si>
    <t xml:space="preserve">Two Horizon Center, Golf Course Road</t>
  </si>
  <si>
    <t xml:space="preserve">https://youtube.com/@gonoise_official?si=eGW94LEYULxlsRha</t>
  </si>
  <si>
    <t xml:space="preserve">India</t>
  </si>
  <si>
    <t xml:space="preserve">https://www.instagram.com/go_noise/</t>
  </si>
  <si>
    <t xml:space="preserve">Gurugram</t>
  </si>
  <si>
    <t xml:space="preserve">boAt,Boult,Fire-Boltt</t>
  </si>
  <si>
    <t xml:space="preserve">Haryana </t>
  </si>
  <si>
    <t xml:space="preserve">smartwatches, earbuds, wearables earbuds, headphones, speakers</t>
  </si>
  <si>
    <t xml:space="preserve">+91 8882132132</t>
  </si>
  <si>
    <t xml:space="preserve">Smartwatches, Earbuds, Smart Rings</t>
  </si>
  <si>
    <t xml:space="preserve">https://www.gonoise.com</t>
  </si>
  <si>
    <t xml:space="preserve">UPI, Cards, Net Banking, Wallets</t>
  </si>
  <si>
    <t xml:space="preserve">N/A (online store)</t>
  </si>
  <si>
    <t xml:space="preserve">Customer support </t>
  </si>
  <si>
    <t xml:space="preserve">https://www.facebook.com/GOBOULT</t>
  </si>
  <si>
    <t xml:space="preserve">support@boultaudio.com</t>
  </si>
  <si>
    <t xml:space="preserve">Boult</t>
  </si>
  <si>
    <t xml:space="preserve">https://linkedin.com/company/boultaudio</t>
  </si>
  <si>
    <t xml:space="preserve">New Delhi (Corporate Office)</t>
  </si>
  <si>
    <t xml:space="preserve">https://youtube.com/@goboult?si=XFATJhbfacYrvr_6</t>
  </si>
  <si>
    <t xml:space="preserve">https://www.instagram.com/goboult_official/</t>
  </si>
  <si>
    <t xml:space="preserve">New Delhi </t>
  </si>
  <si>
    <t xml:space="preserve">boAt,Noise,JBL</t>
  </si>
  <si>
    <t xml:space="preserve">Delhi</t>
  </si>
  <si>
    <t xml:space="preserve">earbuds, headphones, speakers</t>
  </si>
  <si>
    <t xml:space="preserve">+91 9289803880</t>
  </si>
  <si>
    <t xml:space="preserve">Earbuds, Neckbands, Speakers, Smartwatches</t>
  </si>
  <si>
    <t xml:space="preserve">https://www.boultaudio.com</t>
  </si>
  <si>
    <t xml:space="preserve">June2017</t>
  </si>
  <si>
    <t xml:space="preserve">MAJOR PROJECT</t>
  </si>
  <si>
    <t xml:space="preserve">Competitor Sheet</t>
  </si>
  <si>
    <t xml:space="preserve">Brand/Client</t>
  </si>
  <si>
    <t xml:space="preserve">INEUBYTES</t>
  </si>
  <si>
    <t xml:space="preserve">Objective</t>
  </si>
  <si>
    <t xml:space="preserve">PREPARING COMPETITORS</t>
  </si>
  <si>
    <t xml:space="preserve">www.ineubytes.com</t>
  </si>
  <si>
    <t xml:space="preserve">Date</t>
  </si>
  <si>
    <t xml:space="preserve">COMPETITORS LIST</t>
  </si>
  <si>
    <t xml:space="preserve">No.</t>
  </si>
  <si>
    <t xml:space="preserve">Competitors Name</t>
  </si>
  <si>
    <t xml:space="preserve">website Link</t>
  </si>
  <si>
    <t xml:space="preserve">Instagram Page</t>
  </si>
  <si>
    <t xml:space="preserve">Twitter Handle</t>
  </si>
  <si>
    <t xml:space="preserve">LinkedIn Page</t>
  </si>
  <si>
    <t xml:space="preserve">Facebook Handle</t>
  </si>
  <si>
    <t xml:space="preserve">PrepBytes</t>
  </si>
  <si>
    <t xml:space="preserve">https://www.prepbytes.com/</t>
  </si>
  <si>
    <t xml:space="preserve">https://www.instagram.com/prepbytes</t>
  </si>
  <si>
    <t xml:space="preserve">https://x.com/prepbytes0211</t>
  </si>
  <si>
    <t xml:space="preserve">https://www.linkedin.com/company/prepbytes/</t>
  </si>
  <si>
    <t xml:space="preserve">https://www.facebook.com/prepbytes0211/</t>
  </si>
  <si>
    <t xml:space="preserve">internshala</t>
  </si>
  <si>
    <t xml:space="preserve">https://internshala.com/</t>
  </si>
  <si>
    <t xml:space="preserve">https://www.instagram.com/internshala</t>
  </si>
  <si>
    <t xml:space="preserve">https://x.com/Internshala</t>
  </si>
  <si>
    <t xml:space="preserve">https://www.linkedin.com/company/internshala/</t>
  </si>
  <si>
    <t xml:space="preserve">https://www.facebook.com/Internshala/</t>
  </si>
  <si>
    <t xml:space="preserve">Unstop</t>
  </si>
  <si>
    <t xml:space="preserve">https://unstop.com</t>
  </si>
  <si>
    <t xml:space="preserve">https://www.instagram.com/unstop.world</t>
  </si>
  <si>
    <t xml:space="preserve">https://x.com/Unstop_World</t>
  </si>
  <si>
    <t xml:space="preserve">https://www.linkedin.com/company/unstop/</t>
  </si>
  <si>
    <t xml:space="preserve">https://www.facebook.com/Unstop.World/</t>
  </si>
  <si>
    <t xml:space="preserve">Eventbeep</t>
  </si>
  <si>
    <t xml:space="preserve">https://www.eventbeep.com/en</t>
  </si>
  <si>
    <t xml:space="preserve">https://www.instagram.com/beepappofficial</t>
  </si>
  <si>
    <t xml:space="preserve">https://x.com/event_beep</t>
  </si>
  <si>
    <t xml:space="preserve">https://www.linkedin.com/company/beepappofficial/</t>
  </si>
  <si>
    <t xml:space="preserve">https://www.facebook.com/EventBeep/</t>
  </si>
  <si>
    <t xml:space="preserve">Scaler</t>
  </si>
  <si>
    <t xml:space="preserve">https://www.scaler.com/</t>
  </si>
  <si>
    <t xml:space="preserve">https://www.instagram.com/scaler_official</t>
  </si>
  <si>
    <t xml:space="preserve">https://x.com/scaler_official</t>
  </si>
  <si>
    <t xml:space="preserve">https://www.linkedin.com/school/scalerofficial/</t>
  </si>
  <si>
    <t xml:space="preserve">https://www.facebook.com/scalerofficial/</t>
  </si>
  <si>
    <t xml:space="preserve">Simplilearn</t>
  </si>
  <si>
    <t xml:space="preserve">https://www.simplilearn.com/</t>
  </si>
  <si>
    <t xml:space="preserve">https://www.instagram.com/simplilearn_official</t>
  </si>
  <si>
    <t xml:space="preserve">https://x.com/simplilearn</t>
  </si>
  <si>
    <t xml:space="preserve">https://www.linkedin.com/company/simplilearn/</t>
  </si>
  <si>
    <t xml:space="preserve">https://www.facebook.com/SimplilearnIndia/</t>
  </si>
  <si>
    <t xml:space="preserve">Coding Blocks</t>
  </si>
  <si>
    <t xml:space="preserve">https://www.codingblocks.com/</t>
  </si>
  <si>
    <t xml:space="preserve">https://www.instagram.com/codingblocks</t>
  </si>
  <si>
    <t xml:space="preserve">https://x.com/CodingBlocksIn</t>
  </si>
  <si>
    <t xml:space="preserve">https://www.linkedin.com/school/codingblocksindia/</t>
  </si>
  <si>
    <t xml:space="preserve">https://www.facebook.com/codingblocksindia/</t>
  </si>
  <si>
    <t xml:space="preserve">Upgrad</t>
  </si>
  <si>
    <t xml:space="preserve">https://www.upgrad.com/</t>
  </si>
  <si>
    <t xml:space="preserve">https://www.instagram.com/upgrad_edu</t>
  </si>
  <si>
    <t xml:space="preserve">https://x.com/upGrad_edu</t>
  </si>
  <si>
    <t xml:space="preserve">https://www.linkedin.com/company/ueducation/</t>
  </si>
  <si>
    <t xml:space="preserve">https://www.facebook.com/upGradGlobal/</t>
  </si>
  <si>
    <t xml:space="preserve">Great learning </t>
  </si>
  <si>
    <t xml:space="preserve">https://www.mygreatlearning.com/</t>
  </si>
  <si>
    <t xml:space="preserve">https://www.instagram.com/greatlearningofficial</t>
  </si>
  <si>
    <t xml:space="preserve">https://x.com/Great_Learning</t>
  </si>
  <si>
    <t xml:space="preserve">https://www.linkedin.com/school/great-learning/</t>
  </si>
  <si>
    <t xml:space="preserve">https://www.facebook.com/GreatLearningOfficial/</t>
  </si>
  <si>
    <t xml:space="preserve">Coding ninjas</t>
  </si>
  <si>
    <t xml:space="preserve">https://www.codingninjas.com/</t>
  </si>
  <si>
    <t xml:space="preserve">https://www.instagram.com/coding.ninjas</t>
  </si>
  <si>
    <t xml:space="preserve">https://x.com/CodingNinjasOff</t>
  </si>
  <si>
    <t xml:space="preserve">https://www.linkedin.com/school/codingninjas/</t>
  </si>
  <si>
    <t xml:space="preserve">https://www.facebook.com/codingninjas/</t>
  </si>
  <si>
    <t xml:space="preserve">Major Project (2 Weeks) : Developing and Implementing a Comprehensive Content Calendar ( Create 30 Posts )</t>
  </si>
  <si>
    <t xml:space="preserve">Post Type</t>
  </si>
  <si>
    <t xml:space="preserve">DATE</t>
  </si>
  <si>
    <t xml:space="preserve">TIME</t>
  </si>
  <si>
    <t xml:space="preserve">CAPTION (Content)</t>
  </si>
  <si>
    <t xml:space="preserve">Creative</t>
  </si>
  <si>
    <t xml:space="preserve">HASHTAG</t>
  </si>
  <si>
    <t xml:space="preserve">REFERENCE LINK</t>
  </si>
  <si>
    <t xml:space="preserve">Images</t>
  </si>
  <si>
    <t xml:space="preserve">1 . Install the "Keywords Everywhere - Keyword Tool" Chrome extension for keyword data.
2. Identify relevant, high-volume keywords using this tool.
3. Use ChatGPT to craft engaging captions incorporating these keywords.
4. Remember: Captions should prioritize audience engagement and incorporate keywords naturally.</t>
  </si>
  <si>
    <t xml:space="preserve">Visual Creative : Canva</t>
  </si>
  <si>
    <t xml:space="preserve">https://blog.hootsuite.com/linkedin-hashtags-guide/</t>
  </si>
  <si>
    <t xml:space="preserve">If you are using any looks like CANVA, you can share the viewable link otherwise you can take file and post in google drive and just share google drive file link</t>
  </si>
  <si>
    <t xml:space="preserve">Videos</t>
  </si>
  <si>
    <t xml:space="preserve">Copywriting Creative : Grammarly</t>
  </si>
  <si>
    <t xml:space="preserve">User-Generated Content (UGC)</t>
  </si>
  <si>
    <t xml:space="preserve">Video Creative : Openshot</t>
  </si>
  <si>
    <t xml:space="preserve">Carousels</t>
  </si>
  <si>
    <t xml:space="preserve">Audio Creative : Audacity</t>
  </si>
  <si>
    <t xml:space="preserve">How-to Guides/Tutorials</t>
  </si>
  <si>
    <t xml:space="preserve">Interactive Creative :  Scratch</t>
  </si>
  <si>
    <t xml:space="preserve">Infographics</t>
  </si>
  <si>
    <t xml:space="preserve">Social Media Creative : Canva</t>
  </si>
  <si>
    <t xml:space="preserve">Live Videos</t>
  </si>
  <si>
    <t xml:space="preserve">Print Creative : Adobe Spark</t>
  </si>
  <si>
    <t xml:space="preserve">Memes</t>
  </si>
  <si>
    <t xml:space="preserve">Motion Graphics Creative : Powtoon</t>
  </si>
  <si>
    <t xml:space="preserve">Motivational/Inspirational content</t>
  </si>
  <si>
    <t xml:space="preserve">User Interface/User Experience (UI/UX) Creative : Figma</t>
  </si>
  <si>
    <t xml:space="preserve">Polls and Surveys</t>
  </si>
  <si>
    <t xml:space="preserve">Behind-the-Scenes</t>
  </si>
  <si>
    <t xml:space="preserve">Product Spotlight</t>
  </si>
  <si>
    <t xml:space="preserve">Case Studies/Testimonials</t>
  </si>
  <si>
    <t xml:space="preserve">Industry News/Updates</t>
  </si>
  <si>
    <t xml:space="preserve">Infotainment</t>
  </si>
  <si>
    <t xml:space="preserve">Seasonal/Holiday Content</t>
  </si>
  <si>
    <t xml:space="preserve">Guest Posts/Influencer Collaborations</t>
  </si>
  <si>
    <t xml:space="preserve">Contests/Giveaways</t>
  </si>
  <si>
    <t xml:space="preserve">Ask Me Anything (AMA)</t>
  </si>
  <si>
    <t xml:space="preserve">Educational Webinars/Workshops</t>
  </si>
  <si>
    <t xml:space="preserve">TYPE OF POST</t>
  </si>
  <si>
    <t xml:space="preserve">CREATIVE TYPE</t>
  </si>
  <si>
    <t xml:space="preserve">(Sample)</t>
  </si>
  <si>
    <t xml:space="preserve">🌟 Exciting Industry Update: Data Science in Education and Technology! 📊💡🚀
🎓 As a passionate advocate for data-driven decision-making, I couldn't be more thrilled about the latest developments in data science for the education and technology industries. Let me share with you some incredible insights and personal experiences that highlight the power of data in transforming these sectors. 💻📚✨
🔍 The Education Revolution:
In the education industry, data science has emerged as a game-changer, propelling us into an era of personalized learning. 🎯📖 With the help of advanced analytics, educators can now tailor instructional approaches to meet individual students' needs. From adaptive learning platforms to intelligent tutoring systems, technology fueled by data insights is reshaping the classroom experience, unlocking students' full potential. 🌟🔓
🌐 The Tech Transformation:
Meanwhile, in the technology industry, data science is the driving force behind innovation and digital transformation. 💡🚀 Companies are leveraging data analytics to extract actionable insights from vast amounts of information, enabling them to make smarter business decisions. From customer behavior analysis to predictive modeling, data science empowers organizations to optimize processes, enhance user experiences, and gain a competitive edge. 💼📊
🔬 Personal Journey:
Reflecting on my own journey, I've witnessed firsthand how data science has revolutionized education and technology. During my time as an educator, data-driven insights helped me identify areas for improvement, tailoring my teaching strategies to address individual student needs. The impact was remarkable – increased engagement, improved learning outcomes, and a true sense of empowerment among my students. 🌟🎓
🌈 Let's Connect and Collaborate!
I'd love</t>
  </si>
  <si>
    <t xml:space="preserve">Copywriting Creative</t>
  </si>
  <si>
    <t xml:space="preserve">#DataScience #EducationIndustry #TechnologyIndustry #DigitalTransformation #PersonalizedLearning #Innovation #DataDrivenDecisionMaking #ThoughtLeadership #IndustryInsights #EdTech #TechAdvancements</t>
  </si>
  <si>
    <t xml:space="preserve">No design needed</t>
  </si>
  <si>
    <t xml:space="preserve">08-06-20XX (Sample)</t>
  </si>
  <si>
    <t xml:space="preserve">📣 Calling all aspiring data wizards! 🧙‍♂️✨ Level up your skills with our exclusive 3-month data science course 📊🔬 Join us on a journey of discovery as we unravel the secrets of data analysis, machine learning, and more 🌟💻 Unleash your potential and gain a competitive edge in the digital era 🚀💡 Don't miss out on this golden opportunity! Register now and let the data adventure begin! 📚💫</t>
  </si>
  <si>
    <t xml:space="preserve">Visual Creative</t>
  </si>
  <si>
    <t xml:space="preserve">#DataScienceJourney
#DataWizards
#LevelUpYourSkills
#DataAnalysis
#MachineLearning
#UnleashYourPotential
#DigitalEdge
#DataAdventure
#TechEducation
#CareerGrowth</t>
  </si>
  <si>
    <t xml:space="preserve">https://www.canva.com/design/XXXXX</t>
  </si>
  <si>
    <t xml:space="preserve">CALENDAR PROGRESS</t>
  </si>
  <si>
    <t xml:space="preserve">Most businesses are sitting on diamonds.
But without a polished social media presence, the world sees coal.
Your product quality, your team, your vision — none of it matters if your online presence doesn't reflect it.
Unpolished gems are treated like coals.
The companies winning right now aren't always the best. They're the most visible. The most consistent. The ones who showed up online before they felt "ready."
Your brand is the gem. Social media is the cutting and polishing.
One makes you valuable. The other makes you seen.
I learned while doing  my #iNeuBytes internship That how much digital marketing is important for a brand.</t>
  </si>
  <si>
    <t xml:space="preserve">#iNeuBytes #BrandVisibility #SocialMediaMarketing #DigitalMarketing #ContentStrategy #iNeuBytes #PersonalBranding #MarketingMindset #SmallBusiness #StartupIndia #LinkedInMarketing</t>
  </si>
  <si>
    <t xml:space="preserve">No design needed  </t>
  </si>
  <si>
    <t xml:space="preserve">Posts planned</t>
  </si>
  <si>
    <t xml:space="preserve">I've seen people post once a week and explode.
I've seen others post three times a day with almost no growth.
The difference isn't luck.
It's context.
Every successful creator has a unique mix of audience, timing, brand, and experience.
So before you copy someone's content strategy, ask yourself:
Will this work for my audience—or am I just copying because it worked for someone else?
The best strategy isn't borrowed.
It's built.
( While doing  Competitor analysis task for my #iNeuBytes internship i learned same content doesn't always work for different brands, every brand needs to find their own.)</t>
  </si>
  <si>
    <t xml:space="preserve">#iNeuBytes #contentcreator
#audience #growth</t>
  </si>
  <si>
    <t xml:space="preserve">Captions written</t>
  </si>
  <si>
    <t xml:space="preserve">Infographic </t>
  </si>
  <si>
    <t xml:space="preserve">Everybody knows the line:
"Have a break, have a KitKat."
But have you ever wondered why you still remember it years later?
That's the power of a great jingle.
A jingle isn't just a catchy tune or phrase. It's a memory trigger. It helps people recognize a brand, creates familiarity, and makes advertisements stick long after they're over.
When done right, a jingle turns marketing into memory.
That's why some of the most successful brands invest in creating sounds and phrases people can instantly recall.
People may forget an advertisement.
They rarely forget a great jingle.
What's the first brand jingle that comes to your mind?
(While Doing my iNeuBytes internship i realised that the most engaging thing about an advertisement is not just its design, content and hook the music the jingle and sound branding also matters.)</t>
  </si>
  <si>
    <t xml:space="preserve">#iNeuBytes #onlineinternship
#iNeuBytesintership #ContentCreation
#Marketing #Branding #Advertising #Jingles #BrandRecall #KitKat #ConsumerPsychology</t>
  </si>
  <si>
    <t xml:space="preserve">Creatives linked</t>
  </si>
  <si>
    <t xml:space="preserve">Think of it this way:
📜 Certificates are your entry pass.
🛠️ Skills are your toolkit.
📈 Experience is your proof.
Without the pass, some doors stay closed.
Without the toolkit, you can't do the work.
Without experience, it's difficult to earn trust.
Build all three—but spend most of your time sharpening your skills.
(Thanks to my iNeuBytes internship, I understand the difference between holding a certificate and having a skill.)</t>
  </si>
  <si>
    <t xml:space="preserve">#iNeuBytes #internship #certificates #iNeuBytesinternship
#skills</t>
  </si>
  <si>
    <t xml:space="preserve">Target</t>
  </si>
  <si>
    <t xml:space="preserve">Ideas are common. Execution is the competitive advantage.
Steve Jobs wasn't the first person to imagine a smartphone, tablet, or graphical computer. What made him legendary was his relentless focus on execution—turning ideas into products people loved. Apple's success wasn't built on having the most ideas; it was built on executing them better than almost anyone else.
An idea has potential. Execution creates impact.
(So i always have plenty of ideas but my summer internship at iNeuBytes teach me about the execution of idea, iNeuBytes give me task to Execute 30 posts in 14 days.)</t>
  </si>
  <si>
    <t xml:space="preserve">#iNeuBytes #iNeuBytesInternship
#onlineInternship #Certificates #growth #Marketing #contentcreation #Ideas #Execution #Apple</t>
  </si>
  <si>
    <t xml:space="preserve">Educational Marketing graphic </t>
  </si>
  <si>
    <t xml:space="preserve">TA-DUM.
You probably heard that in your head before you even saw the Netflix logo.
That's the power of sonic branding.
Unlike a jingle, sonic branding doesn't need lyrics. Sometimes, just a few distinctive notes are enough to make millions of people instantly recognize a brand.
Netflix's iconic "Ta-Dum" plays before every show, creating anticipation and reinforcing the brand with every watch.
The best brands aren't remembered only by what they look like.
They're remembered by what they sound like.
In a world full of visual noise, the brands that win are often the ones people can recognize with their eyes closed.
A logo identifies a brand.
A sound makes it unforgettable.
What's the first sonic logo that comes to your mind?
(Sound and brand identity like this is the kind of marketing detail I've studied closely during my Digital Marketing internship at iNeuBytes.)</t>
  </si>
  <si>
    <t xml:space="preserve">#iNeuBytes #Onlineinternship
#iNeuBytesinternship #contentcreation #freemarketing
#Marketing #Branding #SonicBranding #Netflix #AudioBranding #Advertising #BrandStrategy</t>
  </si>
  <si>
    <t xml:space="preserve">Most SEO audits fail because people use only one tool.
These 5 free SEO tools cover almost everything—from technical SEO to page speed and indexing.
Save this post before your next website audit.
(Has been using these tools for my iNeuBytes internship.)</t>
  </si>
  <si>
    <t xml:space="preserve">#iNeuBytes #iNeubytesintership
#onlineinternship #contentcreation
#Marketing 
#SEO #SEOTOOLS #Free #Website #Digitalmarketing</t>
  </si>
  <si>
    <t xml:space="preserve">India's biggest food delivery battle isn't fought in restaurants.
It's fought in technology, logistics, and execution.
Zomato vs Swiggy isn't just a rivalry—it's a masterclass in how competition drives innovation.
From food delivery to quick commerce, both companies keep pushing each other to build better products, faster deliveries, and better customer experiences.
One question remains...
Which side are you on—Zomato or Swiggy? 🍕🛵
Breaking down real brand rivalries like this is exactly the kind of competitive analysis I've been doing during my Digital Marketing internship at iNeuBytes.</t>
  </si>
  <si>
    <t xml:space="preserve">Social Media Creative/Visual Creative</t>
  </si>
  <si>
    <t xml:space="preserve">#iNeuBytes #iNeuBytesinternship
#onlineinternship #Digitalmarketing #Marketing #Rivalry #Food 
#Zomato #Swiggy #Business #Startup #Entrepreneurship #Marketing #Innovation #India #Tech #LinkedIn</t>
  </si>
  <si>
    <t xml:space="preserve">The biggest reason Amul is still winning after 70+ years?
It never confused innovation with identity.
Its products evolved.
Its packaging evolved.
Its marketing evolved.
But its purpose never did.
It changed everything. Except its purpose.
That's the difference between building a product that sells and a brand that lasts.
Which brand do you think has stayed true to its purpose the longest?
(Case studies like this shape how iNeuBytes trains interns to think about brand purpose — grateful for that lens.)</t>
  </si>
  <si>
    <t xml:space="preserve">#iNeuBytes #iNeubytesinternship
#OnlineInternship #DigitalMarketing #Marketing 
#Amul #butter #purpose #identity #brand #BrandStory</t>
  </si>
  <si>
    <t xml:space="preserve">More than just a certificate—it was real industry exposure.
During my internship at INEUBYTES, I worked on practical, real-world tasks under the guidance of experienced mentors. The internship helped me strengthen my skills, gain hands-on experience, and build confidence while earning a certificate upon successful completion.</t>
  </si>
  <si>
    <t xml:space="preserve">#iNeuBytes #onlineintership
#virtualinternship #iNeubytesinternship #Growth #contentcreation</t>
  </si>
  <si>
    <t xml:space="preserve">The best competition doesn't create losers.
It creates better products.
Jio changed the rules.
Airtel changed its strategy.
One disrupted. One adapted. India won.
(This is the kind of strategic thinking iNeuBytes has been pushing me to apply during my internship.)</t>
  </si>
  <si>
    <t xml:space="preserve">#iNeuBytes #iNeuBytesinternship
#onlineinternship #Digitalmarketing #Marketing #Contentcreator 
#Jio #Airtel #telecom</t>
  </si>
  <si>
    <t xml:space="preserve">What if Google had never built Chrome?
One internal idea changed the future of the web.
Sundar Pichai believed Google needed its own browser—one that was faster, simpler, and more secure.
Google listened.
The result was Chrome, now the world's most-used web browser.
Great products don't always start with a product.
Sometimes, they start with one person's vision.
(Exploring different stories for my #iNeubytes internship.)</t>
  </si>
  <si>
    <t xml:space="preserve">#Google #Chrome #TechHistory #Innovation #Leadership #Business #iNeubytes #Onlineinternship #digitalmarketing #Marketing #iNeubytesinternship</t>
  </si>
  <si>
    <t xml:space="preserve">Flipkart created Big Billion Days.
Amazon answered with the Great Indian Festival.
Every year, both brands compete with bigger deals, faster deliveries, and smarter strategies.
Billions are spent for one thing: your click. 
Which side are you on—Amazon or Flipkart?
(Analyzing real campaigns like this is part of what I've been learning hands-on during my iNeuBytes internship)</t>
  </si>
  <si>
    <t xml:space="preserve">#Amazon #Flipkart #Business #Ecommerce #Competition #Marketing #Innovation #BigBillionDays #GreatIndianFestival
#iNeuBytes #onlineinternship
#iNeuBytesinternship #DigitalMarketing #Marketing</t>
  </si>
  <si>
    <t xml:space="preserve">Jeff Bezos wasn't trying to build the world's biggest cloud business.
He was trying to solve an internal problem.
In the early 2000s, Amazon's developers were spending weeks setting up servers for every new project. Every team built its own infrastructure from scratch, slowing innovation and wasting engineering time.
Jeff Bezos decided to change that.
He pushed Amazon to create standardized, self-service building blocks for storage, computing, and databases that every team could use instantly instead of rebuilding everything.
Then came the realization.
If these tools could save Amazon thousands of engineering hours, why wouldn't other companies want the same thing?
So in 2006, Amazon turned those internal tools into a product called Amazon Web Services (AWS).
What began as a solution to a retail company's engineering bottleneck unexpectedly became the foundation of modern cloud computing.
Today, AWS powers startups, Fortune 500 companies, governments, streaming platforms, AI applications, and millions of websites across the world.
One internal headache became one of the most successful businesses ever created.
Lesson: Sometimes the biggest opportunities aren't found by chasing a new idea—they emerge from solving your own biggest problem.
(This is the kind of business-strategy thinking my Digital Marketing internship at iNeuBytes has pushed me to apply.)</t>
  </si>
  <si>
    <t xml:space="preserve">#AWS #Amazon #JeffBezos #BusinessStrategy #Innovation #Startups #CloudComputing #Entrepreneurship #Tech #BusinessCaseStudy
#iNeuBytes #Onlineinternship
#DigitalMarketing #Marketing 
#iNeuBytesinternship</t>
  </si>
  <si>
    <t xml:space="preserve">The race isn't about who answers faster.
It's about who builds the smartest AI.
OpenAI and Anthropic are investing billions, releasing more capable models, and competing to shape the future of artificial intelligence.
The best part?
Every improvement benefits millions of users.
( Learning about the comparison and benefits of different Ai tools, while doing my iNeuBytes.) internship)</t>
  </si>
  <si>
    <t xml:space="preserve">#ArtificialIntelligence #ChatGPT #Claude #OpenAI #Anthropic #Tech #iNeuBytes #Onlineinternship #DigitalMarketing #Marketing</t>
  </si>
  <si>
    <t xml:space="preserve">Samsung didn't stay a trading company.
It kept evolving.
From dried fish to semiconductors.
From smartphones to AI.
Every decade, it entered new industries instead of protecting the old ones.
The biggest companies aren't built by staying the same.
They're built by constantly changing.
What's one business that reinvented itself as successfully as Samsung?
(Exploring brand Stories as part of #iNeuBytes internship)</t>
  </si>
  <si>
    <t xml:space="preserve">#Samsung #tech #brand #infographic #content #iNeuBytes
#Digital #Marketing</t>
  </si>
  <si>
    <t xml:space="preserve">Samsung isn't just a brand.
It's a conglomerate built on one habit: adapting.
It started as a trading company.
Then came insurance. Construction. Shipbuilding. Electronics. Semiconductors. Smartphones.
Most companies protect one business.
Samsung keeps building the next one.
That's why it has stayed relevant for nearly a century
(Leaning about brand Stories while My iNeuBytes internship)</t>
  </si>
  <si>
    <t xml:space="preserve">#Samsung #Info #adapting #iNeubytes #Digital #Marketing</t>
  </si>
  <si>
    <t xml:space="preserve">My first internship wasn't about building my portfolio.
It was about building confidence.
Instead of only gaining classroom knowledge, I got the opportunity to work on real projects. That practical experience changed the way I think, learn, and solve problems.
Along the way, I also developed:
•Professional communication
•Problem-solving skills
•Team collaboration
•Time management
•Research skills
•Adaptability
•Accountability
•Confidence to work in a •professional environment</t>
  </si>
  <si>
    <t xml:space="preserve">#iNeuBytes #internship #onlineinternship #growth</t>
  </si>
  <si>
    <t xml:space="preserve">One started with cars.
The other bet on bikes.
Today, both are competing for the same customer.
Rapido vs Uber.
Who has the smarter strategy?
(iNeuBytes Internship teachs me how to analysis brands.)</t>
  </si>
  <si>
    <t xml:space="preserve">#iNeuBytes #Digital #Marketing 
#Rapido #Uber #transport</t>
  </si>
  <si>
    <t xml:space="preserve">My first internship at INeuBytes 
wasn't just another certificate to add to my portfolio----it was the moment I realized how much practical experience can change your perspective.
Before joining, I only had theoretical knowledge. During the internship, I worked on real digital marketing tasks, created LinkedIn content, analyzed businesses, improved my research skills, and learned how to present ideas in a professional way. Every task pushed me to think beyond the classroom.
The biggest takeaway wasn't a technical skill. It was confidence. Confidence to take ownership of work, solve problems independently, and believe that learning happens by doing.
That internship became the foundation of my journey in digital marketing and personal branding. Looking back, it wasn't just about completing an internship—it was about taking the first real step toward my career.</t>
  </si>
  <si>
    <t xml:space="preserve">#iNeuBytes #Digital #Marketing</t>
  </si>
  <si>
    <t xml:space="preserve">Another day. Another step forward.
Today wasn't just about completing tasks.
I learned how a well-written blog is structured, why SEO matters beyond keywords, and how content can solve problems instead of simply filling a page.
Every assignment at iNeuBytes is helping me think more like a marketer than just a content creator.
One day at a time. One skill at a time.</t>
  </si>
  <si>
    <t xml:space="preserve">#iNeuBytes #iNeuBytesInternship #DigitalMarketing #ContentWriting #Blogging #SEO #LearningInPublic #LinkedIn #InternshipJourney</t>
  </si>
  <si>
    <t xml:space="preserve">100,000+ impressions in 6 days. no big following, no fancy strategy. here's what I learned, which actually helped me grow —
had 145 connections, 159 followers. wasn't expecting anything tbh.
one single post crossed 102,000 impressions and reached 74,000+ people — I checked, 100% of it came from outside my own network. all strangers.
biggest thing I've learned so far — a post only works if it makes people curious. if someone doesn't stop and go "wait what" within the first line, the post is basically dead. doesn't matter how good the rest of it is.
I'm not flexing, I genuinely have nothing to flex about lol 159 followers is not a flex. just putting this out there bc 6 days ago I had zero and this actually happened. so if you're starting from scratch too — it's possible, not just something people say.
still don't fully know what I'm doing but yeah. wanted to share this anyway.
(Thanks to iNeuBytes for pushing me for content creation)</t>
  </si>
  <si>
    <t xml:space="preserve">#Growth #iNeuBytes #digital #maketing</t>
  </si>
  <si>
    <t xml:space="preserve">Quick test: can you guess why Facebook is called Facebook? (It's not what you think.) 👇
Turns out, none of the biggest tech names were picked at random — each one was a bet on what the founders wanted to become. Here's the real story behind 5 of them:
Facebook → named after the paper "face books" universities handed out so students could learn each other's names. The original offline social network.
Google → from "googol" (10^100) — a nod to organizing an almost infinite amount of information.
Apple → chosen for being simple and friendly, the opposite of the cold, intimidating "computer" image of the 1970s.
Microsoft → literally microcomputer + software. No  hidden meaning, just the exact gap they set out to fill.
Amazon → named after the world's largest river, reflecting Bezos's plan to build the largest store on Earth.
Did you get it right? Drop your guess before you scroll up — I want to see how many people knew this one.
(Researching about different brands and their Meaning and their decision for my #iNeuBytes internship).</t>
  </si>
  <si>
    <t xml:space="preserve">#TechHistory #Branding #DigitalMarketing #iNeuBytes 
#Onlineinternship</t>
  </si>
  <si>
    <t xml:space="preserve">Love him or hate him, Donald Trump's journey is impossible to ignore.
This isn't about politics—it's about analyzing one of the most talked-about careers of the modern era.
From real estate developer to global business icon, TV personality, U.S. President, electoral defeat, and an eventual return to the White House, his journey is filled with bold decisions, setbacks, controversy, and comebacks.
Every stage offers lessons in personal branding, media influence, leadership, crisis management, and resilience.
Whether you agree with his views or not, there's value in studying the journey.
What's the biggest lesson you take from Donald Trump's story?
( Donald trump use personal branding to go for a estate owner to president of US, iNeuBytes teaching us about perosnal Branding)</t>
  </si>
  <si>
    <t xml:space="preserve">At iNeuBytes, I learned that content creation isn't just about making good-looking posts—it's about helping a brand communicate its value.
Working on marketing tasks for the company taught me how to understand a brand, create engaging content, highlight its services, and connect with the right audience. Every assignment improved my creativity, research, and marketing mindset.
I'm grateful to iNeuBytes for giving me hands-on experience that strengthened both my content creation and digital marketing skills.</t>
  </si>
  <si>
    <t xml:space="preserve">#iNeuBytes #onlineinternship
#DigitalMarketing #summerinternship #learning #Marketing</t>
  </si>
  <si>
    <t xml:space="preserve">Discipline is the bridge between goals and achievements. 💙🧡
My journey as a Digital Marketing Intern at iNeuBytes has taught me that success isn't just about talent—it's about showing up consistently, meeting deadlines, staying curious, and continuously improving.
Through this internship, I've been gaining hands-on experience in: ✨ SEO Analysis ✨ Content Writing ✨ Social Media Marketing ✨ Market Research ✨ Campaign Assistance
Every task, mentor session, and project has helped me strengthen my skills while developing a disciplined and growth-oriented mindset.
A big thank you to iNeuBytes for providing a platform to learn, practice, and grow professionally. Looking forward to learning even more throughout this journey!
"Discipline turns opportunities into achievements." 🚀</t>
  </si>
  <si>
    <t xml:space="preserve">#iNeuBytes #iNeuBytesInternship #DigitalMarketing #Internship #LearningJourney #ProfessionalGrowth #SEO #ContentWriting #SocialMediaMarketing #CareerGrowth #SkillDevelopment #Discipline #Students #Marketing #VirtualInternship</t>
  </si>
  <si>
    <t xml:space="preserve">There was a time when I used to check websites manually and miss important SEO details.
During my Digital Marketing Internship at iNeuBytes, I discovered how much faster and smarter the right Chrome extensions can make SEO analysis. From checking meta tags and page performance to analyzing backlinks and competitors, these tools became part of my daily workflow.
Here are the SEO extensions I found most useful: 🔹 SEOquake 🔹 Detailed SEO Extension 🔹 Seobility 🔹 Lighthouse 🔹 Similarweb 🔹 MozBar
Each one solves a different problem, and together they make website analysis much more efficient.
I'm still learning, but every project teaches me something new, and I'm excited to keep improving my SEO skills.
Which SEO extension do you use the most? I'd love to hear your recommendations in the comments.</t>
  </si>
  <si>
    <t xml:space="preserve">#iNeuBytes #iNeuBytesInternship #SEO #DigitalMarketing #ChromeExtensions #WebsiteAudit #TechnicalSEO #LearningJourney #MarketingTools #ContentMarketing</t>
  </si>
  <si>
    <t xml:space="preserve">Every internship starts with a simple decision: to learn.
I created this step-by-step guide to the iNeuBytes Virtual Internship Program for anyone who wants to understand the journey before getting started. From registration to earning your internship certificate, this carousel walks through each stage in a simple and easy-to-follow way.
One thing I like is that the program focuses on practical learning through projects, helping you build skills while gaining hands-on experience.
If you're exploring virtual internship opportunities, you can learn more here:
https://lnkd.in/gA_dKGQg
Have you completed a virtual internship before? I'd love to hear about your experience in the comments.</t>
  </si>
  <si>
    <t xml:space="preserve">#iNeuBytes #VirtualInternship #InternshipJourney #SkillDevelopment #CareerGrowth #Students #DigitalMarketing #WebDevelopment #DataScience #ArtificialIntelligence #LearningByDoing</t>
  </si>
  <si>
    <t xml:space="preserve">A few months ago, if someone had told me that one of my posts would cross 100,000+ impressions, I probably wouldn't have believed them.
When I started my first internship, I thought my work would mostly be about learning tools and completing small tasks.
Instead, I was given something much more exciting—content creation.
At first, I wasn't confident. Creating content that people would actually stop and read felt challenging. Every post made me question whether anyone would find it valuable.
But I kept showing up.
I learned how to write better hooks, design cleaner visuals, and share ideas that could genuinely help people. Some posts did okay, some didn't—but every post taught me something.
Then one day, I checked my LinkedIn analytics and saw that my content had crossed 100,000+ impressions.
That number wasn't just about views.
It was proof that consistency beats perfection.
I'm grateful to my first internship for trusting me with real responsibilities instead of just giving me routine work. That opportunity helped me build skills, confidence, and a portfolio that I'm genuinely proud of.
This is only the beginning, and I'm excited to keep learning, creating, and improving every single day.
Thank you to everyone who has read, liked, commented on, or shared my content. Your support means more than you know. ❤️</t>
  </si>
  <si>
    <t xml:space="preserve">#Internship #ContentCreation #DigitalMarketing #LinkedIn #LearningInPublic #Growth #CareerJourney #iNeuBytes
#iNeuBytesinternship
#onlineinternship</t>
  </si>
  <si>
    <t xml:space="preserve">People often say internships help you gain experience.
But I think the real purpose of an internship is much simpler:
An internship exists to turn theoretical knowledge into practical experience.
For the past 30 days as a Digital Marketing Intern at iNeuBytes, I got the opportunity to apply what I had only learned in classrooms.
I worked on content creation, explored SEO tools, created LinkedIn posts, learned digital marketing strategies, met deadlines, accepted feedback, and most importantly, understood how real work actually happens.
One moment I'm especially proud of? A piece of content I created crossed 100,000+ impressions. It reminded me that consistent effort and continuous learning always pay off.
I'm grateful to the entire iNeuBytes team for giving me this opportunity and for creating an environment where learning comes from doing.
This internship may have ended, but the lessons and confidence I gained will stay with me for a long time.
Once again thankyou iNeuBytes for this experiences.
Here's to learning, growing, and taking the next step. 🚀</t>
  </si>
  <si>
    <t xml:space="preserve">#Internship #iNeuBytes #DigitalMarketing #ContentCreation #SEO #LearningByDoing #CareerGrowth #Students #ProfessionalDevelopment #LinkedIn</t>
  </si>
  <si>
    <t xml:space="preserve">DAY</t>
  </si>
  <si>
    <t xml:space="preserve">CAPTION (CONTENT)</t>
  </si>
  <si>
    <t xml:space="preserve">LINK (POST IN YOUR LINKEDIN) AND PASTE THE LINK HERE</t>
  </si>
  <si>
    <t xml:space="preserve">STATUS</t>
  </si>
  <si>
    <t xml:space="preserve">THURDAY</t>
  </si>
  <si>
    <t xml:space="preserve">17:00  PM</t>
  </si>
  <si>
    <t xml:space="preserve">https://www.linkedin.com/posts/ineubytes_datascientist-datasciencetraining-machinelearning-activity-7072525201032282112-HY1y?utm_source=share&amp;utm_medium=member_desktop</t>
  </si>
  <si>
    <t xml:space="preserve">Sample </t>
  </si>
  <si>
    <t xml:space="preserve">TO POST AT CORRECT TIME USE BUFFER AND SCHEDULE YOUR POSTS (OR) YOU CAN SCHEDULE YOUR POSTS IN LINKEDIN ALSO</t>
  </si>
  <si>
    <t xml:space="preserve">https://www.linkedin.com/posts/mohit-sukhija_ineubytes-ineubytes-brandvisibility-activity-7481693819051130880-KdKQ?utm_source=social_share_send&amp;utm_medium=android_app&amp;rcm=ACoAAGaFDK0BbyG1T-wOG0OIQPBDmmlKf9CNHpM&amp;utm_campaign=copy_link</t>
  </si>
  <si>
    <t xml:space="preserve">Published</t>
  </si>
  <si>
    <t xml:space="preserve">https://www.linkedin.com/posts/mohit-sukhija_ineubytes-ineubytes-contentcreator-activity-7481739080507187201-7sXn?utm_source=social_share_send&amp;utm_medium=android_app&amp;rcm=ACoAAGaFDK0BbyG1T-wOG0OIQPBDmmlKf9CNHpM&amp;utm_campaign=copy_link</t>
  </si>
  <si>
    <t xml:space="preserve">https://www.linkedin.com/posts/mohit-sukhija_ineubytes-onlineinternship-ineubytesintership-activity-7482063727001878528-BoLi?utm_source=social_share_send&amp;utm_medium=android_app&amp;rcm=ACoAAGaFDK0BbyG1T-wOG0OIQPBDmmlKf9CNHpM&amp;utm_campaign=copy_link</t>
  </si>
  <si>
    <t xml:space="preserve">https://www.linkedin.com/posts/mohit-sukhija_ineubytes-internship-certificates-activity-7482101470532923392-Ht3u?utm_source=social_share_send&amp;utm_medium=android_app&amp;rcm=ACoAAGaFDK0BbyG1T-wOG0OIQPBDmmlKf9CNHpM&amp;utm_campaign=copy_link</t>
  </si>
  <si>
    <t xml:space="preserve">https://www.linkedin.com/posts/mohit-sukhija_ineubytes-ineubytesinternship-onlineinternship-activity-7482426149864841216-xmLC?utm_source=social_share_send&amp;utm_medium=android_app&amp;rcm=ACoAAGaFDK0BbyG1T-wOG0OIQPBDmmlKf9CNHpM&amp;utm_campaign=copy_link</t>
  </si>
  <si>
    <t xml:space="preserve">https://www.linkedin.com/posts/mohit-sukhija_ineubytes-onlineinternship-ineubytesinternship-activity-7482463901285130240-AOnc?utm_source=social_share_send&amp;utm_medium=android_app&amp;rcm=ACoAAGaFDK0BbyG1T-wOG0OIQPBDmmlKf9CNHpM&amp;utm_campaign=copy_link</t>
  </si>
  <si>
    <t xml:space="preserve">https://www.linkedin.com/posts/mohit-sukhija_ineubytes-ineubytesintership-onlineinternship-activity-7482701443544600576-tFCQ?utm_source=social_share_send&amp;utm_medium=android_app&amp;rcm=ACoAAGaFDK0BbyG1T-wOG0OIQPBDmmlKf9CNHpM&amp;utm_campaign=copy_link</t>
  </si>
  <si>
    <t xml:space="preserve">https://www.linkedin.com/posts/mohit-sukhija_ineubytes-ineubytesinternship-onlineinternship-activity-7482826340757426176-a1s_?utm_source=social_share_send&amp;utm_medium=android_app&amp;rcm=ACoAAGaFDK0BbyG1T-wOG0OIQPBDmmlKf9CNHpM&amp;utm_campaign=copy_link</t>
  </si>
  <si>
    <t xml:space="preserve">https://www.linkedin.com/posts/mohit-sukhija_ineubytes-ineubytesinternship-onlineinternship-activity-7483158475489951744-hxPh?utm_source=social_share_send&amp;utm_medium=android_app&amp;rcm=ACoAAGaFDK0BbyG1T-wOG0OIQPBDmmlKf9CNHpM&amp;utm_campaign=copy_link</t>
  </si>
  <si>
    <t xml:space="preserve">https://www.linkedin.com/posts/mohit-sukhija_ineubytes-onlineintership-virtualinternship-activity-7483181097917366272-8ZcP?utm_source=social_share_send&amp;utm_medium=android_app&amp;rcm=ACoAAGaFDK0BbyG1T-wOG0OIQPBDmmlKf9CNHpM&amp;utm_campaign=copy_link</t>
  </si>
  <si>
    <t xml:space="preserve">https://www.linkedin.com/posts/mohit-sukhija_ineubytes-ineubytesinternship-onlineinternship-activity-7483188783400529920-JkDY?utm_source=social_share_send&amp;utm_medium=android_app&amp;rcm=ACoAAGaFDK0BbyG1T-wOG0OIQPBDmmlKf9CNHpM&amp;utm_campaign=copy_link</t>
  </si>
  <si>
    <t xml:space="preserve">https://www.linkedin.com/posts/mohit-sukhija_ineubytes-google-chrome-activity-7483513326409248769-BkIx?utm_source=social_share_send&amp;utm_medium=android_app&amp;rcm=ACoAAGaFDK0BbyG1T-wOG0OIQPBDmmlKf9CNHpM&amp;utm_campaign=copy_link</t>
  </si>
  <si>
    <t xml:space="preserve">https://www.linkedin.com/posts/mohit-sukhija_amazon-flipkart-business-activity-7483543490501431296-9i1a?utm_source=social_share_send&amp;utm_medium=android_app&amp;rcm=ACoAAGaFDK0BbyG1T-wOG0OIQPBDmmlKf9CNHpM&amp;utm_campaign=copy_link</t>
  </si>
  <si>
    <t xml:space="preserve">https://www.linkedin.com/posts/mohit-sukhija_aws-amazon-jeffbezos-activity-7483732269828943872-x3o4?utm_source=social_share_send&amp;utm_medium=android_app&amp;rcm=ACoAAGaFDK0BbyG1T-wOG0OIQPBDmmlKf9CNHpM&amp;utm_campaign=copy_link</t>
  </si>
  <si>
    <t xml:space="preserve">https://www.linkedin.com/posts/mohit-sukhija_artificialintelligence-chatgpt-claude-activity-7483868110924472320-UOCM?utm_source=social_share_send&amp;utm_medium=android_app&amp;rcm=ACoAAGaFDK0BbyG1T-wOG0OIQPBDmmlKf9CNHpM&amp;utm_campaign=copy_link</t>
  </si>
  <si>
    <t xml:space="preserve">https://www.linkedin.com/posts/mohit-sukhija_ineubytes-samsung-tech-activity-7483890785461956608-0Q-s?utm_source=social_share_send&amp;utm_medium=android_app&amp;rcm=ACoAAGaFDK0BbyG1T-wOG0OIQPBDmmlKf9CNHpM&amp;utm_campaign=copy_link</t>
  </si>
  <si>
    <t xml:space="preserve">https://www.linkedin.com/posts/mohit-sukhija_samsung-info-adapting-activity-7484260699012014080-FEZV?utm_source=social_share_send&amp;utm_medium=android_app&amp;rcm=ACoAAGaFDK0BbyG1T-wOG0OIQPBDmmlKf9CNHpM&amp;utm_campaign=copy_link</t>
  </si>
  <si>
    <t xml:space="preserve">https://www.linkedin.com/posts/mohit-sukhija_ineubytes-internship-onlineinternship-activity-7484275805519237120-N6lH?utm_source=social_share_send&amp;utm_medium=android_app&amp;rcm=ACoAAGaFDK0BbyG1T-wOG0OIQPBDmmlKf9CNHpM&amp;utm_campaign=copy_link</t>
  </si>
  <si>
    <t xml:space="preserve">https://www.linkedin.com/posts/mohit-sukhija_ineubytes-digital-marketing-activity-7484600532821532672-p2gV?utm_source=social_share_send&amp;utm_medium=android_app&amp;rcm=ACoAAGaFDK0BbyG1T-wOG0OIQPBDmmlKf9CNHpM&amp;utm_campaign=copy_link</t>
  </si>
  <si>
    <t xml:space="preserve">https://www.linkedin.com/posts/mohit-sukhija_ineubytes-digital-marketing-activity-7484615552284626945-5OG9?utm_source=social_share_send&amp;utm_medium=android_app&amp;rcm=ACoAAGaFDK0BbyG1T-wOG0OIQPBDmmlKf9CNHpM&amp;utm_campaign=copy_link</t>
  </si>
  <si>
    <t xml:space="preserve">https://www.linkedin.com/posts/mohit-sukhija_ineubytes-ineubytesinternship-digitalmarketing-activity-7484630637073821696-HnuO?utm_source=social_share_send&amp;utm_medium=android_app&amp;rcm=ACoAAGaFDK0BbyG1T-wOG0OIQPBDmmlKf9CNHpM&amp;utm_campaign=copy_link</t>
  </si>
  <si>
    <t xml:space="preserve">https://www.linkedin.com/posts/mohit-sukhija_growth-ineubytes-digital-activity-7484947748446932995-ljf5?utm_source=social_share_send&amp;utm_medium=android_app&amp;rcm=ACoAAGaFDK0BbyG1T-wOG0OIQPBDmmlKf9CNHpM&amp;utm_campaign=copy_link</t>
  </si>
  <si>
    <t xml:space="preserve">https://www.linkedin.com/posts/mohit-sukhija_ineubytes-techhistory-branding-activity-7484981706270285824-nsDw?utm_source=social_share_send&amp;utm_medium=android_app&amp;rcm=ACoAAGaFDK0BbyG1T-wOG0OIQPBDmmlKf9CNHpM&amp;utm_campaign=copy_link</t>
  </si>
  <si>
    <t xml:space="preserve">https://www.linkedin.com/posts/mohit-sukhija_casestudy-leadership-personalbranding-activity-7485302630311673856-jLz_?utm_source=social_share_send&amp;utm_medium=android_app&amp;rcm=ACoAAGaFDK0BbyG1T-wOG0OIQPBDmmlKf9CNHpM&amp;utm_campaign=copy_link</t>
  </si>
  <si>
    <t xml:space="preserve">https://www.linkedin.com/posts/mohit-sukhija_ineubytes-onlineinternship-digitalmarketing-activity-7485317770029699075-ecZv?utm_source=social_share_send&amp;utm_medium=android_app&amp;rcm=ACoAAGaFDK0BbyG1T-wOG0OIQPBDmmlKf9CNHpM&amp;utm_campaign=copy_link</t>
  </si>
  <si>
    <t xml:space="preserve">https://www.linkedin.com/posts/mohit-sukhija_ineubytes-ineubytesinternship-digitalmarketing-activity-7485332849122758656-KcTO?utm_source=social_share_send&amp;utm_medium=android_app&amp;rcm=ACoAAGaFDK0BbyG1T-wOG0OIQPBDmmlKf9CNHpM&amp;utm_campaign=copy_link</t>
  </si>
  <si>
    <t xml:space="preserve">https://www.linkedin.com/posts/mohit-sukhija_ineubytes-ineubytesinternship-seo-activity-7485664974061858816-V4Ah?utm_source=social_share_send&amp;utm_medium=android_app&amp;rcm=ACoAAGaFDK0BbyG1T-wOG0OIQPBDmmlKf9CNHpM&amp;utm_campaign=copy_link</t>
  </si>
  <si>
    <t xml:space="preserve">https://www.linkedin.com/posts/mohit-sukhija_ineubytes-virtualinternship-internshipjourney-activity-7485748015408914432-2Mfq?utm_source=social_share_send&amp;utm_medium=android_app&amp;rcm=ACoAAGaFDK0BbyG1T-wOG0OIQPBDmmlKf9CNHpM&amp;utm_campaign=copy_link</t>
  </si>
  <si>
    <t xml:space="preserve">https://www.linkedin.com/posts/mohit-sukhija_internship-contentcreation-digitalmarketing-activity-7485883898367971328-fDOk?utm_source=social_share_send&amp;utm_medium=android_app&amp;rcm=ACoAAGaFDK0BbyG1T-wOG0OIQPBDmmlKf9CNHpM&amp;utm_campaign=copy_link</t>
  </si>
  <si>
    <t xml:space="preserve">https://www.linkedin.com/posts/mohit-sukhija_internship-ineubytes-digitalmarketing-activity-7485914097075748865-bz2g?utm_source=social_share_send&amp;utm_medium=android_app&amp;rcm=ACoAAGaFDK0BbyG1T-wOG0OIQPBDmmlKf9CNHpM&amp;utm_campaign=copy_link</t>
  </si>
</sst>
</file>

<file path=xl/styles.xml><?xml version="1.0" encoding="utf-8"?>
<styleSheet xmlns="http://schemas.openxmlformats.org/spreadsheetml/2006/main">
  <numFmts count="8">
    <numFmt numFmtId="164" formatCode="General"/>
    <numFmt numFmtId="165" formatCode="0%"/>
    <numFmt numFmtId="166" formatCode="mmm\-yy"/>
    <numFmt numFmtId="167" formatCode="m/d/yyyy"/>
    <numFmt numFmtId="168" formatCode="h:mm"/>
    <numFmt numFmtId="169" formatCode="dd/mm/yyyy"/>
    <numFmt numFmtId="170" formatCode="hh:mm"/>
    <numFmt numFmtId="171" formatCode="h:mm\ AM/PM"/>
  </numFmts>
  <fonts count="39">
    <font>
      <sz val="10"/>
      <name val="Arial"/>
      <family val="0"/>
      <charset val="1"/>
    </font>
    <font>
      <sz val="10"/>
      <name val="Arial"/>
      <family val="0"/>
    </font>
    <font>
      <sz val="10"/>
      <name val="Arial"/>
      <family val="0"/>
    </font>
    <font>
      <sz val="10"/>
      <name val="Arial"/>
      <family val="0"/>
    </font>
    <font>
      <u val="single"/>
      <sz val="10"/>
      <color rgb="FF0000FF"/>
      <name val="Arial"/>
      <family val="0"/>
      <charset val="1"/>
    </font>
    <font>
      <b val="true"/>
      <sz val="16"/>
      <color rgb="FFFFFFFF"/>
      <name val="Cambria"/>
      <family val="0"/>
      <charset val="1"/>
    </font>
    <font>
      <b val="true"/>
      <sz val="11"/>
      <color rgb="FFFFFFFF"/>
      <name val="Cambria"/>
      <family val="0"/>
      <charset val="1"/>
    </font>
    <font>
      <b val="true"/>
      <sz val="11"/>
      <name val="Cambria"/>
      <family val="0"/>
      <charset val="1"/>
    </font>
    <font>
      <sz val="10"/>
      <color rgb="FF000000"/>
      <name val="Arial"/>
      <family val="0"/>
      <charset val="1"/>
    </font>
    <font>
      <i val="true"/>
      <sz val="11"/>
      <color rgb="FF7F7F7F"/>
      <name val="Cambria"/>
      <family val="0"/>
      <charset val="1"/>
    </font>
    <font>
      <b val="true"/>
      <sz val="18"/>
      <color rgb="FF000000"/>
      <name val="Calibri"/>
      <family val="2"/>
    </font>
    <font>
      <sz val="10"/>
      <color rgb="FF000000"/>
      <name val="Calibri"/>
      <family val="2"/>
    </font>
    <font>
      <b val="true"/>
      <sz val="10"/>
      <color rgb="FF000000"/>
      <name val="Calibri"/>
      <family val="2"/>
    </font>
    <font>
      <sz val="72"/>
      <color rgb="FFFF0000"/>
      <name val="Arial"/>
      <family val="0"/>
      <charset val="1"/>
    </font>
    <font>
      <sz val="10"/>
      <color rgb="FF000000"/>
      <name val="Times New Roman"/>
      <family val="0"/>
      <charset val="1"/>
    </font>
    <font>
      <sz val="11"/>
      <color rgb="FF000000"/>
      <name val="Times New Roman"/>
      <family val="0"/>
      <charset val="1"/>
    </font>
    <font>
      <u val="single"/>
      <sz val="10"/>
      <color rgb="FF660066"/>
      <name val="Arial"/>
      <family val="0"/>
      <charset val="1"/>
    </font>
    <font>
      <u val="single"/>
      <sz val="11"/>
      <color rgb="FF000000"/>
      <name val="Times New Roman"/>
      <family val="0"/>
      <charset val="1"/>
    </font>
    <font>
      <sz val="18"/>
      <color rgb="FF000000"/>
      <name val="Times New Roman"/>
      <family val="0"/>
      <charset val="1"/>
    </font>
    <font>
      <b val="true"/>
      <sz val="12"/>
      <color rgb="FFFFFFFF"/>
      <name val="Cambria"/>
      <family val="0"/>
      <charset val="1"/>
    </font>
    <font>
      <b val="true"/>
      <sz val="11"/>
      <color rgb="FF1F4A7E"/>
      <name val="Times New Roman"/>
      <family val="0"/>
      <charset val="1"/>
    </font>
    <font>
      <sz val="10"/>
      <name val="Times New Roman"/>
      <family val="0"/>
      <charset val="1"/>
    </font>
    <font>
      <b val="true"/>
      <sz val="14"/>
      <name val="Times New Roman"/>
      <family val="0"/>
      <charset val="1"/>
    </font>
    <font>
      <sz val="11"/>
      <name val="Times New Roman"/>
      <family val="0"/>
      <charset val="1"/>
    </font>
    <font>
      <u val="single"/>
      <sz val="11"/>
      <name val="Times New Roman"/>
      <family val="0"/>
      <charset val="1"/>
    </font>
    <font>
      <b val="true"/>
      <sz val="14"/>
      <color rgb="FFFFFFFF"/>
      <name val="Calibri"/>
      <family val="0"/>
      <charset val="1"/>
    </font>
    <font>
      <sz val="10"/>
      <color rgb="FF000000"/>
      <name val="Calibri"/>
      <family val="0"/>
      <charset val="1"/>
    </font>
    <font>
      <sz val="14"/>
      <color rgb="FF000000"/>
      <name val="Calibri"/>
      <family val="0"/>
      <charset val="1"/>
    </font>
    <font>
      <u val="single"/>
      <sz val="14"/>
      <color rgb="FF1155CC"/>
      <name val="Calibri"/>
      <family val="0"/>
      <charset val="1"/>
    </font>
    <font>
      <b val="true"/>
      <sz val="14"/>
      <color rgb="FF000000"/>
      <name val="Calibri"/>
      <family val="0"/>
      <charset val="1"/>
    </font>
    <font>
      <b val="true"/>
      <sz val="14"/>
      <color rgb="FF000000"/>
      <name val="Arial"/>
      <family val="0"/>
      <charset val="1"/>
    </font>
    <font>
      <b val="true"/>
      <sz val="10"/>
      <color rgb="FFFFFFFF"/>
      <name val="Arial"/>
      <family val="0"/>
      <charset val="1"/>
    </font>
    <font>
      <b val="true"/>
      <sz val="10"/>
      <color rgb="FF000000"/>
      <name val="Arial"/>
      <family val="0"/>
      <charset val="1"/>
    </font>
    <font>
      <sz val="10"/>
      <color rgb="FFFFFFFF"/>
      <name val="Arial"/>
      <family val="0"/>
      <charset val="1"/>
    </font>
    <font>
      <sz val="10"/>
      <color rgb="FF000000"/>
      <name val="Avenir Book"/>
      <family val="0"/>
      <charset val="1"/>
    </font>
    <font>
      <sz val="10"/>
      <color rgb="FF2D3E50"/>
      <name val="Avenir Book"/>
      <family val="0"/>
      <charset val="1"/>
    </font>
    <font>
      <b val="true"/>
      <sz val="12"/>
      <color rgb="FFFFFFFF"/>
      <name val="Avenir Book"/>
      <family val="0"/>
      <charset val="1"/>
    </font>
    <font>
      <sz val="18"/>
      <color rgb="FF9C5700"/>
      <name val="Calibri"/>
      <family val="0"/>
      <charset val="1"/>
    </font>
    <font>
      <b val="true"/>
      <sz val="10"/>
      <color rgb="FF000000"/>
      <name val="Avenir Book"/>
      <family val="0"/>
      <charset val="1"/>
    </font>
  </fonts>
  <fills count="34">
    <fill>
      <patternFill patternType="none"/>
    </fill>
    <fill>
      <patternFill patternType="gray125"/>
    </fill>
    <fill>
      <patternFill patternType="solid">
        <fgColor rgb="FF2A7E7E"/>
        <bgColor rgb="FF31859C"/>
      </patternFill>
    </fill>
    <fill>
      <patternFill patternType="solid">
        <fgColor rgb="FFB9D2D4"/>
        <bgColor rgb="FFC6D9F0"/>
      </patternFill>
    </fill>
    <fill>
      <patternFill patternType="solid">
        <fgColor rgb="FFFFFF00"/>
        <bgColor rgb="FFFBBC04"/>
      </patternFill>
    </fill>
    <fill>
      <patternFill patternType="solid">
        <fgColor rgb="FFEEECE1"/>
        <bgColor rgb="FFEAF1DD"/>
      </patternFill>
    </fill>
    <fill>
      <patternFill patternType="solid">
        <fgColor rgb="FFC6EFCE"/>
        <bgColor rgb="FFDBEEF3"/>
      </patternFill>
    </fill>
    <fill>
      <patternFill patternType="solid">
        <fgColor rgb="FFFFEB9C"/>
        <bgColor rgb="FFFBD4B4"/>
      </patternFill>
    </fill>
    <fill>
      <patternFill patternType="solid">
        <fgColor rgb="FFFFC7CE"/>
        <bgColor rgb="FFFBD4B4"/>
      </patternFill>
    </fill>
    <fill>
      <patternFill patternType="solid">
        <fgColor rgb="FF0000FF"/>
        <bgColor rgb="FF0000FF"/>
      </patternFill>
    </fill>
    <fill>
      <patternFill patternType="solid">
        <fgColor rgb="FFFF9900"/>
        <bgColor rgb="FFFBBC04"/>
      </patternFill>
    </fill>
    <fill>
      <patternFill patternType="solid">
        <fgColor rgb="FFFF8F59"/>
        <bgColor rgb="FFFF9900"/>
      </patternFill>
    </fill>
    <fill>
      <patternFill patternType="solid">
        <fgColor rgb="FFC0514D"/>
        <bgColor rgb="FFF2545B"/>
      </patternFill>
    </fill>
    <fill>
      <patternFill patternType="solid">
        <fgColor rgb="FFFBBC04"/>
        <bgColor rgb="FFFF9900"/>
      </patternFill>
    </fill>
    <fill>
      <patternFill patternType="solid">
        <fgColor rgb="FF1F4A7E"/>
        <bgColor rgb="FF2D3E50"/>
      </patternFill>
    </fill>
    <fill>
      <patternFill patternType="solid">
        <fgColor rgb="FFF2F2F2"/>
        <bgColor rgb="FFEEECE1"/>
      </patternFill>
    </fill>
    <fill>
      <patternFill patternType="solid">
        <fgColor rgb="FF7F7F7F"/>
        <bgColor rgb="FF878787"/>
      </patternFill>
    </fill>
    <fill>
      <patternFill patternType="solid">
        <fgColor rgb="FFDDD9C3"/>
        <bgColor rgb="FFD9D9D9"/>
      </patternFill>
    </fill>
    <fill>
      <patternFill patternType="solid">
        <fgColor rgb="FFC6D9F0"/>
        <bgColor rgb="FFB9D2D4"/>
      </patternFill>
    </fill>
    <fill>
      <patternFill patternType="solid">
        <fgColor rgb="FFDCE5F1"/>
        <bgColor rgb="FFE5DFEC"/>
      </patternFill>
    </fill>
    <fill>
      <patternFill patternType="solid">
        <fgColor rgb="FFF2DCDB"/>
        <bgColor rgb="FFE5DFEC"/>
      </patternFill>
    </fill>
    <fill>
      <patternFill patternType="solid">
        <fgColor rgb="FFEAF1DD"/>
        <bgColor rgb="FFEEECE1"/>
      </patternFill>
    </fill>
    <fill>
      <patternFill patternType="solid">
        <fgColor rgb="FFE5DFEC"/>
        <bgColor rgb="FFDCE5F1"/>
      </patternFill>
    </fill>
    <fill>
      <patternFill patternType="solid">
        <fgColor rgb="FFDBEEF3"/>
        <bgColor rgb="FFDCE5F1"/>
      </patternFill>
    </fill>
    <fill>
      <patternFill patternType="solid">
        <fgColor rgb="FFFBD4B4"/>
        <bgColor rgb="FFFFC7CE"/>
      </patternFill>
    </fill>
    <fill>
      <patternFill patternType="solid">
        <fgColor rgb="FFE36B09"/>
        <bgColor rgb="FFF2545B"/>
      </patternFill>
    </fill>
    <fill>
      <patternFill patternType="solid">
        <fgColor rgb="FF31859C"/>
        <bgColor rgb="FF2A7E7E"/>
      </patternFill>
    </fill>
    <fill>
      <patternFill patternType="solid">
        <fgColor rgb="FF5F4979"/>
        <bgColor rgb="FF376092"/>
      </patternFill>
    </fill>
    <fill>
      <patternFill patternType="solid">
        <fgColor rgb="FF376092"/>
        <bgColor rgb="FF1F4A7E"/>
      </patternFill>
    </fill>
    <fill>
      <patternFill patternType="solid">
        <fgColor rgb="FF2D3E50"/>
        <bgColor rgb="FF1F4A7E"/>
      </patternFill>
    </fill>
    <fill>
      <patternFill patternType="solid">
        <fgColor rgb="FF92D050"/>
        <bgColor rgb="FFBFBFBF"/>
      </patternFill>
    </fill>
    <fill>
      <patternFill patternType="solid">
        <fgColor rgb="FF00B0F0"/>
        <bgColor rgb="FF31859C"/>
      </patternFill>
    </fill>
    <fill>
      <patternFill patternType="solid">
        <fgColor rgb="FFF2545B"/>
        <bgColor rgb="FFC0514D"/>
      </patternFill>
    </fill>
    <fill>
      <patternFill patternType="solid">
        <fgColor rgb="FF6A78D1"/>
        <bgColor rgb="FF4F81BD"/>
      </patternFill>
    </fill>
  </fills>
  <borders count="11">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right/>
      <top style="thin"/>
      <bottom style="thin"/>
      <diagonal/>
    </border>
    <border diagonalUp="false" diagonalDown="false">
      <left style="thin"/>
      <right style="thin"/>
      <top style="thin"/>
      <bottom style="thin"/>
      <diagonal/>
    </border>
    <border diagonalUp="false" diagonalDown="false">
      <left/>
      <right style="thin"/>
      <top style="thin"/>
      <bottom style="thin"/>
      <diagonal/>
    </border>
    <border diagonalUp="false" diagonalDown="false">
      <left style="thin"/>
      <right/>
      <top style="thin"/>
      <bottom/>
      <diagonal/>
    </border>
    <border diagonalUp="false" diagonalDown="false">
      <left style="thin"/>
      <right style="thin"/>
      <top/>
      <bottom/>
      <diagonal/>
    </border>
    <border diagonalUp="false" diagonalDown="false">
      <left/>
      <right/>
      <top/>
      <bottom style="thin"/>
      <diagonal/>
    </border>
    <border diagonalUp="false" diagonalDown="false">
      <left style="thin"/>
      <right style="thin"/>
      <top/>
      <bottom style="thin"/>
      <diagonal/>
    </border>
    <border diagonalUp="false" diagonalDown="false">
      <left/>
      <right style="thin"/>
      <top/>
      <bottom style="thin"/>
      <diagonal/>
    </border>
    <border diagonalUp="false" diagonalDown="false">
      <left/>
      <right/>
      <top style="thin"/>
      <bottom style="thin"/>
      <diagonal/>
    </border>
  </borders>
  <cellStyleXfs count="21">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false" hidden="false"/>
    </xf>
  </cellStyleXfs>
  <cellXfs count="115">
    <xf numFmtId="164" fontId="0" fillId="0" borderId="0" xfId="0" applyFont="false" applyBorder="false" applyAlignment="fals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5" fillId="2" borderId="0" xfId="0" applyFont="true" applyBorder="true" applyAlignment="true" applyProtection="false">
      <alignment horizontal="center"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5" fontId="8" fillId="0" borderId="1" xfId="0" applyFont="true" applyBorder="true" applyAlignment="true" applyProtection="false">
      <alignment horizontal="center" vertical="bottom" textRotation="0" wrapText="false" indent="0" shrinkToFit="false"/>
      <protection locked="true" hidden="false"/>
    </xf>
    <xf numFmtId="164" fontId="7" fillId="3" borderId="1" xfId="0" applyFont="true" applyBorder="true" applyAlignment="tru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center" vertical="bottom" textRotation="0" wrapText="false" indent="0" shrinkToFit="false"/>
      <protection locked="true" hidden="false"/>
    </xf>
    <xf numFmtId="165" fontId="7" fillId="3" borderId="1"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5" fillId="0" borderId="2" xfId="0" applyFont="true" applyBorder="true" applyAlignment="true" applyProtection="false">
      <alignment horizontal="general" vertical="bottom" textRotation="0" wrapText="false" indent="0" shrinkToFit="false"/>
      <protection locked="true" hidden="false"/>
    </xf>
    <xf numFmtId="164" fontId="15" fillId="0" borderId="3" xfId="0" applyFont="true" applyBorder="true" applyAlignment="true" applyProtection="false">
      <alignment horizontal="center" vertical="bottom" textRotation="0" wrapText="false" indent="0" shrinkToFit="false"/>
      <protection locked="true" hidden="false"/>
    </xf>
    <xf numFmtId="164" fontId="15" fillId="0" borderId="3" xfId="0" applyFont="true" applyBorder="true" applyAlignment="true" applyProtection="false">
      <alignment horizontal="general" vertical="bottom" textRotation="0" wrapText="false" indent="0" shrinkToFit="false"/>
      <protection locked="true" hidden="false"/>
    </xf>
    <xf numFmtId="164" fontId="16" fillId="0" borderId="4" xfId="0" applyFont="true" applyBorder="true" applyAlignment="true" applyProtection="false">
      <alignment horizontal="general" vertical="bottom" textRotation="0" wrapText="false" indent="0" shrinkToFit="false"/>
      <protection locked="true" hidden="false"/>
    </xf>
    <xf numFmtId="164" fontId="16" fillId="0" borderId="3" xfId="0" applyFont="true" applyBorder="true" applyAlignment="true" applyProtection="false">
      <alignment horizontal="center" vertical="bottom" textRotation="0" wrapText="false" indent="0" shrinkToFit="false"/>
      <protection locked="true" hidden="false"/>
    </xf>
    <xf numFmtId="164" fontId="16" fillId="0" borderId="3" xfId="0" applyFont="true" applyBorder="true" applyAlignment="true" applyProtection="false">
      <alignment horizontal="general" vertical="bottom" textRotation="0" wrapText="false" indent="0" shrinkToFit="false"/>
      <protection locked="true" hidden="false"/>
    </xf>
    <xf numFmtId="164" fontId="15" fillId="0" borderId="5" xfId="0" applyFont="true" applyBorder="true" applyAlignment="true" applyProtection="false">
      <alignment horizontal="general" vertical="bottom" textRotation="0" wrapText="false" indent="0" shrinkToFit="false"/>
      <protection locked="true" hidden="false"/>
    </xf>
    <xf numFmtId="164" fontId="16" fillId="0" borderId="6" xfId="0" applyFont="true" applyBorder="true" applyAlignment="true" applyProtection="false">
      <alignment horizontal="general" vertical="bottom" textRotation="0" wrapText="false" indent="0" shrinkToFit="false"/>
      <protection locked="true" hidden="false"/>
    </xf>
    <xf numFmtId="164" fontId="17" fillId="0" borderId="3" xfId="0" applyFont="true" applyBorder="true" applyAlignment="true" applyProtection="false">
      <alignment horizontal="general" vertical="bottom" textRotation="0" wrapText="false" indent="0" shrinkToFit="false"/>
      <protection locked="true" hidden="false"/>
    </xf>
    <xf numFmtId="164" fontId="15" fillId="0" borderId="6" xfId="0" applyFont="true" applyBorder="true" applyAlignment="true" applyProtection="false">
      <alignment horizontal="general" vertical="bottom" textRotation="0" wrapText="false" indent="0" shrinkToFit="false"/>
      <protection locked="true" hidden="false"/>
    </xf>
    <xf numFmtId="166" fontId="17" fillId="0" borderId="3" xfId="0" applyFont="true" applyBorder="true" applyAlignment="true" applyProtection="false">
      <alignment horizontal="general" vertical="bottom" textRotation="0" wrapText="true" indent="0" shrinkToFit="false"/>
      <protection locked="true" hidden="false"/>
    </xf>
    <xf numFmtId="164" fontId="18" fillId="4" borderId="0" xfId="0" applyFont="true" applyBorder="true" applyAlignment="true" applyProtection="false">
      <alignment horizontal="center" vertical="bottom" textRotation="0" wrapText="false" indent="0" shrinkToFit="false"/>
      <protection locked="true" hidden="false"/>
    </xf>
    <xf numFmtId="164" fontId="19" fillId="2" borderId="0" xfId="0" applyFont="true" applyBorder="true" applyAlignment="true" applyProtection="false">
      <alignment horizontal="center" vertical="center" textRotation="0" wrapText="false" indent="0" shrinkToFit="false"/>
      <protection locked="true" hidden="false"/>
    </xf>
    <xf numFmtId="164" fontId="20" fillId="5" borderId="0" xfId="0" applyFont="true" applyBorder="false" applyAlignment="true" applyProtection="false">
      <alignment horizontal="center" vertical="center" textRotation="0" wrapText="true" indent="0" shrinkToFit="false"/>
      <protection locked="true" hidden="false"/>
    </xf>
    <xf numFmtId="164" fontId="20" fillId="5" borderId="0" xfId="0" applyFont="true" applyBorder="fals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21" fillId="3" borderId="7" xfId="0" applyFont="true" applyBorder="true" applyAlignment="true" applyProtection="false">
      <alignment horizontal="general" vertical="bottom" textRotation="0" wrapText="false" indent="0" shrinkToFit="false"/>
      <protection locked="true" hidden="false"/>
    </xf>
    <xf numFmtId="164" fontId="22" fillId="3" borderId="7" xfId="0" applyFont="true" applyBorder="true" applyAlignment="true" applyProtection="false">
      <alignment horizontal="center" vertical="bottom" textRotation="0" wrapText="true" indent="0" shrinkToFit="false"/>
      <protection locked="true" hidden="false"/>
    </xf>
    <xf numFmtId="164" fontId="23" fillId="6" borderId="8" xfId="0" applyFont="true" applyBorder="true" applyAlignment="true" applyProtection="false">
      <alignment horizontal="general" vertical="bottom" textRotation="0" wrapText="false" indent="0" shrinkToFit="false"/>
      <protection locked="true" hidden="false"/>
    </xf>
    <xf numFmtId="164" fontId="21" fillId="0" borderId="9" xfId="0" applyFont="true" applyBorder="true" applyAlignment="true" applyProtection="false">
      <alignment horizontal="center" vertical="bottom" textRotation="0" wrapText="false" indent="0" shrinkToFit="false"/>
      <protection locked="true" hidden="false"/>
    </xf>
    <xf numFmtId="164" fontId="23" fillId="0" borderId="9" xfId="0" applyFont="true" applyBorder="true" applyAlignment="true" applyProtection="false">
      <alignment horizontal="general" vertical="bottom" textRotation="0" wrapText="true" indent="0" shrinkToFit="false"/>
      <protection locked="true" hidden="false"/>
    </xf>
    <xf numFmtId="164" fontId="21" fillId="0" borderId="1" xfId="0" applyFont="true" applyBorder="true" applyAlignment="true" applyProtection="false">
      <alignment horizontal="center" vertical="center"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4" fontId="23" fillId="7" borderId="8" xfId="0" applyFont="true" applyBorder="true" applyAlignment="true" applyProtection="false">
      <alignment horizontal="general" vertical="bottom" textRotation="0" wrapText="false" indent="0" shrinkToFit="false"/>
      <protection locked="true" hidden="false"/>
    </xf>
    <xf numFmtId="164" fontId="23" fillId="8" borderId="8" xfId="0" applyFont="true" applyBorder="true" applyAlignment="true" applyProtection="false">
      <alignment horizontal="general" vertical="bottom" textRotation="0" wrapText="false" indent="0" shrinkToFit="false"/>
      <protection locked="true" hidden="false"/>
    </xf>
    <xf numFmtId="164" fontId="24" fillId="0" borderId="9" xfId="0" applyFont="true" applyBorder="true" applyAlignment="true" applyProtection="false">
      <alignment horizontal="general" vertical="bottom" textRotation="0" wrapText="true" indent="0" shrinkToFit="false"/>
      <protection locked="true" hidden="false"/>
    </xf>
    <xf numFmtId="164" fontId="22" fillId="3" borderId="10" xfId="0" applyFont="true" applyBorder="true" applyAlignment="true" applyProtection="false">
      <alignment horizontal="center" vertical="bottom" textRotation="0" wrapText="true" indent="0" shrinkToFit="false"/>
      <protection locked="true" hidden="false"/>
    </xf>
    <xf numFmtId="164" fontId="23" fillId="0" borderId="1" xfId="0" applyFont="true" applyBorder="true" applyAlignment="true" applyProtection="false">
      <alignment horizontal="center" vertical="center" textRotation="0" wrapText="false" indent="0" shrinkToFit="false"/>
      <protection locked="true" hidden="false"/>
    </xf>
    <xf numFmtId="164" fontId="23" fillId="0" borderId="9" xfId="0" applyFont="true" applyBorder="true" applyAlignment="true" applyProtection="false">
      <alignment horizontal="center" vertical="bottom" textRotation="0" wrapText="true" indent="0" shrinkToFit="false"/>
      <protection locked="true" hidden="false"/>
    </xf>
    <xf numFmtId="164" fontId="4" fillId="0" borderId="3" xfId="0" applyFont="true" applyBorder="true" applyAlignment="true" applyProtection="false">
      <alignment horizontal="center" vertical="bottom" textRotation="0" wrapText="false" indent="0" shrinkToFit="false"/>
      <protection locked="true" hidden="false"/>
    </xf>
    <xf numFmtId="164" fontId="15" fillId="0" borderId="3" xfId="0" applyFont="true" applyBorder="true" applyAlignment="true" applyProtection="false">
      <alignment horizontal="general" vertical="bottom" textRotation="0" wrapText="true" indent="0" shrinkToFit="false"/>
      <protection locked="true" hidden="false"/>
    </xf>
    <xf numFmtId="164" fontId="4" fillId="0" borderId="3" xfId="0" applyFont="true" applyBorder="true" applyAlignment="true" applyProtection="false">
      <alignment horizontal="general" vertical="bottom" textRotation="0" wrapText="false" indent="0" shrinkToFit="false"/>
      <protection locked="true" hidden="false"/>
    </xf>
    <xf numFmtId="166" fontId="17" fillId="0" borderId="3" xfId="0" applyFont="true" applyBorder="true" applyAlignment="true" applyProtection="false">
      <alignment horizontal="general" vertical="bottom" textRotation="0" wrapText="false" indent="0" shrinkToFit="false"/>
      <protection locked="true" hidden="false"/>
    </xf>
    <xf numFmtId="166" fontId="23" fillId="0" borderId="9" xfId="0" applyFont="true" applyBorder="true" applyAlignment="true" applyProtection="false">
      <alignment horizontal="general" vertical="bottom" textRotation="0" wrapText="true" indent="0" shrinkToFit="false"/>
      <protection locked="true" hidden="false"/>
    </xf>
    <xf numFmtId="164" fontId="25" fillId="9" borderId="0" xfId="0" applyFont="true" applyBorder="false" applyAlignment="true" applyProtection="false">
      <alignment horizontal="general" vertical="bottom" textRotation="0" wrapText="true" indent="0" shrinkToFit="false"/>
      <protection locked="true" hidden="false"/>
    </xf>
    <xf numFmtId="164" fontId="26" fillId="0" borderId="0" xfId="0" applyFont="true" applyBorder="false" applyAlignment="true" applyProtection="false">
      <alignment horizontal="general" vertical="bottom" textRotation="0" wrapText="true" indent="0" shrinkToFit="false"/>
      <protection locked="true" hidden="false"/>
    </xf>
    <xf numFmtId="164" fontId="27" fillId="0" borderId="0" xfId="0" applyFont="true" applyBorder="false" applyAlignment="true" applyProtection="false">
      <alignment horizontal="general" vertical="bottom" textRotation="0" wrapText="true" indent="0" shrinkToFit="false"/>
      <protection locked="true" hidden="false"/>
    </xf>
    <xf numFmtId="164" fontId="28" fillId="0" borderId="0" xfId="0" applyFont="true" applyBorder="false" applyAlignment="true" applyProtection="false">
      <alignment horizontal="general" vertical="bottom" textRotation="0" wrapText="true" indent="0" shrinkToFit="false"/>
      <protection locked="true" hidden="false"/>
    </xf>
    <xf numFmtId="167" fontId="27" fillId="0" borderId="0" xfId="0" applyFont="true" applyBorder="false" applyAlignment="true" applyProtection="false">
      <alignment horizontal="general" vertical="bottom" textRotation="0" wrapText="true" indent="0" shrinkToFit="false"/>
      <protection locked="true" hidden="false"/>
    </xf>
    <xf numFmtId="164" fontId="29" fillId="4" borderId="0" xfId="0" applyFont="true" applyBorder="true" applyAlignment="true" applyProtection="false">
      <alignment horizontal="center" vertical="bottom" textRotation="0" wrapText="true" indent="0" shrinkToFit="false"/>
      <protection locked="true" hidden="false"/>
    </xf>
    <xf numFmtId="164" fontId="29" fillId="10" borderId="1" xfId="0" applyFont="true" applyBorder="true" applyAlignment="true" applyProtection="false">
      <alignment horizontal="center" vertical="bottom" textRotation="0" wrapText="true" indent="0" shrinkToFit="false"/>
      <protection locked="true" hidden="false"/>
    </xf>
    <xf numFmtId="164" fontId="29" fillId="10" borderId="1" xfId="0" applyFont="true" applyBorder="true" applyAlignment="true" applyProtection="false">
      <alignment horizontal="general" vertical="bottom" textRotation="0" wrapText="true" indent="0" shrinkToFit="false"/>
      <protection locked="true" hidden="false"/>
    </xf>
    <xf numFmtId="164" fontId="27" fillId="0" borderId="1" xfId="0" applyFont="true" applyBorder="true" applyAlignment="true" applyProtection="false">
      <alignment horizontal="general" vertical="bottom" textRotation="0" wrapText="true" indent="0" shrinkToFit="false"/>
      <protection locked="true" hidden="false"/>
    </xf>
    <xf numFmtId="164" fontId="26" fillId="0" borderId="1" xfId="0" applyFont="true" applyBorder="tru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bottom" textRotation="0" wrapText="false" indent="0" shrinkToFit="false"/>
      <protection locked="true" hidden="false"/>
    </xf>
    <xf numFmtId="164" fontId="16" fillId="0" borderId="1" xfId="0" applyFont="true" applyBorder="true" applyAlignment="true" applyProtection="false">
      <alignment horizontal="general" vertical="bottom" textRotation="0" wrapText="false" indent="0" shrinkToFit="false"/>
      <protection locked="true" hidden="false"/>
    </xf>
    <xf numFmtId="164" fontId="26" fillId="0" borderId="0" xfId="0" applyFont="true" applyBorder="false" applyAlignment="true" applyProtection="false">
      <alignment horizontal="general" vertical="bottom" textRotation="0" wrapText="false" indent="0" shrinkToFit="false"/>
      <protection locked="true" hidden="false"/>
    </xf>
    <xf numFmtId="164" fontId="30" fillId="11" borderId="0" xfId="0" applyFont="true" applyBorder="true" applyAlignment="true" applyProtection="false">
      <alignment horizontal="center" vertical="bottom" textRotation="0" wrapText="false" indent="0" shrinkToFit="false"/>
      <protection locked="true" hidden="false"/>
    </xf>
    <xf numFmtId="164" fontId="8" fillId="5" borderId="0" xfId="0" applyFont="true" applyBorder="false" applyAlignment="true" applyProtection="false">
      <alignment horizontal="general" vertical="bottom" textRotation="0" wrapText="false" indent="0" shrinkToFit="false"/>
      <protection locked="true" hidden="false"/>
    </xf>
    <xf numFmtId="164" fontId="31" fillId="12" borderId="0" xfId="0" applyFont="true" applyBorder="false" applyAlignment="true" applyProtection="false">
      <alignment horizontal="center" vertical="bottom" textRotation="0" wrapText="false" indent="0" shrinkToFit="false"/>
      <protection locked="true" hidden="false"/>
    </xf>
    <xf numFmtId="164" fontId="32" fillId="13" borderId="0" xfId="0" applyFont="true" applyBorder="false" applyAlignment="true" applyProtection="false">
      <alignment horizontal="center" vertical="bottom" textRotation="0" wrapText="true" indent="0" shrinkToFit="false"/>
      <protection locked="true" hidden="false"/>
    </xf>
    <xf numFmtId="164" fontId="31" fillId="14" borderId="0" xfId="0" applyFont="true" applyBorder="false" applyAlignment="true" applyProtection="false">
      <alignment horizontal="center" vertical="bottom" textRotation="0" wrapText="true" indent="0" shrinkToFit="false"/>
      <protection locked="true" hidden="false"/>
    </xf>
    <xf numFmtId="164" fontId="8" fillId="15"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left"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top" textRotation="0" wrapText="true" indent="0" shrinkToFit="false"/>
      <protection locked="true" hidden="false"/>
    </xf>
    <xf numFmtId="164" fontId="8" fillId="0" borderId="0" xfId="0" applyFont="true" applyBorder="false" applyAlignment="true" applyProtection="false">
      <alignment horizontal="center" vertical="top" textRotation="0" wrapText="true" indent="0" shrinkToFit="false"/>
      <protection locked="true" hidden="false"/>
    </xf>
    <xf numFmtId="164" fontId="8" fillId="16" borderId="0" xfId="0" applyFont="true" applyBorder="false" applyAlignment="true" applyProtection="false">
      <alignment horizontal="general" vertical="bottom" textRotation="0" wrapText="false" indent="0" shrinkToFit="false"/>
      <protection locked="true" hidden="false"/>
    </xf>
    <xf numFmtId="164" fontId="8" fillId="17" borderId="0" xfId="0" applyFont="true" applyBorder="false" applyAlignment="true" applyProtection="false">
      <alignment horizontal="general" vertical="bottom" textRotation="0" wrapText="false" indent="0" shrinkToFit="false"/>
      <protection locked="true" hidden="false"/>
    </xf>
    <xf numFmtId="164" fontId="8" fillId="18" borderId="0" xfId="0" applyFont="true" applyBorder="false" applyAlignment="true" applyProtection="false">
      <alignment horizontal="general" vertical="bottom" textRotation="0" wrapText="false" indent="0" shrinkToFit="false"/>
      <protection locked="true" hidden="false"/>
    </xf>
    <xf numFmtId="164" fontId="8" fillId="19" borderId="0" xfId="0" applyFont="true" applyBorder="false" applyAlignment="true" applyProtection="false">
      <alignment horizontal="general" vertical="bottom" textRotation="0" wrapText="false" indent="0" shrinkToFit="false"/>
      <protection locked="true" hidden="false"/>
    </xf>
    <xf numFmtId="164" fontId="8" fillId="20" borderId="0" xfId="0" applyFont="true" applyBorder="false" applyAlignment="true" applyProtection="false">
      <alignment horizontal="general" vertical="bottom" textRotation="0" wrapText="false" indent="0" shrinkToFit="false"/>
      <protection locked="true" hidden="false"/>
    </xf>
    <xf numFmtId="164" fontId="8" fillId="21" borderId="0" xfId="0" applyFont="true" applyBorder="false" applyAlignment="true" applyProtection="false">
      <alignment horizontal="general" vertical="bottom" textRotation="0" wrapText="false" indent="0" shrinkToFit="false"/>
      <protection locked="true" hidden="false"/>
    </xf>
    <xf numFmtId="164" fontId="8" fillId="22" borderId="0" xfId="0" applyFont="true" applyBorder="false" applyAlignment="true" applyProtection="false">
      <alignment horizontal="general" vertical="bottom" textRotation="0" wrapText="false" indent="0" shrinkToFit="false"/>
      <protection locked="true" hidden="false"/>
    </xf>
    <xf numFmtId="164" fontId="8" fillId="23" borderId="0" xfId="0" applyFont="true" applyBorder="false" applyAlignment="true" applyProtection="false">
      <alignment horizontal="general" vertical="bottom" textRotation="0" wrapText="false" indent="0" shrinkToFit="false"/>
      <protection locked="true" hidden="false"/>
    </xf>
    <xf numFmtId="164" fontId="8" fillId="24" borderId="0" xfId="0" applyFont="true" applyBorder="false" applyAlignment="true" applyProtection="false">
      <alignment horizontal="general" vertical="bottom" textRotation="0" wrapText="false" indent="0" shrinkToFit="false"/>
      <protection locked="true" hidden="false"/>
    </xf>
    <xf numFmtId="164" fontId="8" fillId="25" borderId="0" xfId="0" applyFont="true" applyBorder="false" applyAlignment="true" applyProtection="false">
      <alignment horizontal="general" vertical="bottom" textRotation="0" wrapText="false" indent="0" shrinkToFit="false"/>
      <protection locked="true" hidden="false"/>
    </xf>
    <xf numFmtId="164" fontId="8" fillId="26" borderId="0" xfId="0" applyFont="true" applyBorder="false" applyAlignment="true" applyProtection="false">
      <alignment horizontal="general" vertical="bottom" textRotation="0" wrapText="false" indent="0" shrinkToFit="false"/>
      <protection locked="true" hidden="false"/>
    </xf>
    <xf numFmtId="164" fontId="8" fillId="27" borderId="0" xfId="0" applyFont="true" applyBorder="false" applyAlignment="true" applyProtection="false">
      <alignment horizontal="general" vertical="bottom" textRotation="0" wrapText="false" indent="0" shrinkToFit="false"/>
      <protection locked="true" hidden="false"/>
    </xf>
    <xf numFmtId="164" fontId="8" fillId="28" borderId="0" xfId="0" applyFont="true" applyBorder="false" applyAlignment="true" applyProtection="false">
      <alignment horizontal="general" vertical="bottom" textRotation="0" wrapText="false" indent="0" shrinkToFit="false"/>
      <protection locked="true" hidden="false"/>
    </xf>
    <xf numFmtId="164" fontId="8" fillId="29" borderId="0" xfId="0" applyFont="true" applyBorder="false" applyAlignment="true" applyProtection="false">
      <alignment horizontal="general" vertical="bottom" textRotation="0" wrapText="false" indent="0" shrinkToFit="false"/>
      <protection locked="true" hidden="false"/>
    </xf>
    <xf numFmtId="164" fontId="8" fillId="4" borderId="0" xfId="0" applyFont="true" applyBorder="false" applyAlignment="true" applyProtection="false">
      <alignment horizontal="general" vertical="bottom" textRotation="0" wrapText="false" indent="0" shrinkToFit="false"/>
      <protection locked="true" hidden="false"/>
    </xf>
    <xf numFmtId="164" fontId="8" fillId="30" borderId="0" xfId="0" applyFont="true" applyBorder="false" applyAlignment="true" applyProtection="false">
      <alignment horizontal="general" vertical="bottom" textRotation="0" wrapText="false" indent="0" shrinkToFit="false"/>
      <protection locked="true" hidden="false"/>
    </xf>
    <xf numFmtId="164" fontId="8" fillId="31" borderId="0" xfId="0" applyFont="true" applyBorder="false" applyAlignment="true" applyProtection="false">
      <alignment horizontal="general" vertical="bottom" textRotation="0" wrapText="false" indent="0" shrinkToFit="false"/>
      <protection locked="true" hidden="false"/>
    </xf>
    <xf numFmtId="164" fontId="8" fillId="32" borderId="0" xfId="0" applyFont="true" applyBorder="false" applyAlignment="true" applyProtection="false">
      <alignment horizontal="general" vertical="bottom" textRotation="0" wrapText="false" indent="0" shrinkToFit="false"/>
      <protection locked="true" hidden="false"/>
    </xf>
    <xf numFmtId="164" fontId="8" fillId="33" borderId="0" xfId="0" applyFont="true" applyBorder="false" applyAlignment="true" applyProtection="false">
      <alignment horizontal="general" vertical="bottom" textRotation="0" wrapText="false" indent="0" shrinkToFit="false"/>
      <protection locked="true" hidden="false"/>
    </xf>
    <xf numFmtId="164" fontId="33" fillId="28"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7" fontId="8" fillId="0" borderId="0" xfId="0" applyFont="true" applyBorder="false" applyAlignment="true" applyProtection="false">
      <alignment horizontal="general" vertical="bottom" textRotation="0" wrapText="true" indent="0" shrinkToFit="false"/>
      <protection locked="true" hidden="false"/>
    </xf>
    <xf numFmtId="168" fontId="8" fillId="0" borderId="0" xfId="0" applyFont="true" applyBorder="false" applyAlignment="true" applyProtection="false">
      <alignment horizontal="general" vertical="bottom" textRotation="0" wrapText="false" indent="0" shrinkToFit="false"/>
      <protection locked="true" hidden="false"/>
    </xf>
    <xf numFmtId="164" fontId="16" fillId="0" borderId="0" xfId="20" applyFont="true" applyBorder="false" applyAlignment="true" applyProtection="true">
      <alignment horizontal="general" vertical="bottom" textRotation="0" wrapText="true" indent="0" shrinkToFit="false"/>
      <protection locked="true" hidden="false"/>
    </xf>
    <xf numFmtId="164" fontId="6" fillId="2" borderId="0" xfId="0" applyFont="true" applyBorder="true" applyAlignment="true" applyProtection="false">
      <alignment horizontal="center" vertical="bottom" textRotation="0" wrapText="false" indent="0" shrinkToFit="false"/>
      <protection locked="true" hidden="false"/>
    </xf>
    <xf numFmtId="164" fontId="32"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9" fontId="8" fillId="0" borderId="1" xfId="0" applyFont="true" applyBorder="true" applyAlignment="true" applyProtection="false">
      <alignment horizontal="general" vertical="top" textRotation="0" wrapText="true" indent="0" shrinkToFit="false"/>
      <protection locked="true" hidden="false"/>
    </xf>
    <xf numFmtId="170" fontId="8" fillId="0" borderId="1" xfId="0" applyFont="true" applyBorder="true" applyAlignment="true" applyProtection="false">
      <alignment horizontal="general" vertical="top" textRotation="0" wrapText="true" indent="0" shrinkToFit="false"/>
      <protection locked="true" hidden="false"/>
    </xf>
    <xf numFmtId="171" fontId="8" fillId="0" borderId="1" xfId="0" applyFont="true" applyBorder="true" applyAlignment="true" applyProtection="false">
      <alignment horizontal="general" vertical="top" textRotation="0" wrapText="true" indent="0" shrinkToFit="false"/>
      <protection locked="true" hidden="false"/>
    </xf>
    <xf numFmtId="164" fontId="34" fillId="0" borderId="0" xfId="0" applyFont="true" applyBorder="false" applyAlignment="true" applyProtection="false">
      <alignment horizontal="general" vertical="bottom" textRotation="0" wrapText="fals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64" fontId="36" fillId="32" borderId="3"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7" fontId="35"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37" fillId="7" borderId="0" xfId="0" applyFont="true" applyBorder="false" applyAlignment="true" applyProtection="false">
      <alignment horizontal="general" vertical="bottom" textRotation="0" wrapText="false" indent="0" shrinkToFit="false"/>
      <protection locked="true" hidden="false"/>
    </xf>
    <xf numFmtId="164" fontId="38" fillId="19" borderId="0" xfId="0" applyFont="true" applyBorder="true" applyAlignment="true" applyProtection="false">
      <alignment horizontal="center" vertical="bottom" textRotation="0" wrapText="false" indent="0" shrinkToFit="false"/>
      <protection locked="true" hidden="false"/>
    </xf>
    <xf numFmtId="169" fontId="35" fillId="0" borderId="0" xfId="0" applyFont="true" applyBorder="false" applyAlignment="true" applyProtection="false">
      <alignment horizontal="general" vertical="bottom" textRotation="0" wrapText="false" indent="0" shrinkToFit="false"/>
      <protection locked="true" hidden="false"/>
    </xf>
    <xf numFmtId="170" fontId="35"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34" fillId="0" borderId="0" xfId="0" applyFont="true" applyBorder="false" applyAlignment="true" applyProtection="fals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Hyperlink 1" xfId="20"/>
  </cellStyles>
  <dxfs count="20">
    <dxf>
      <font>
        <b val="1"/>
        <color rgb="FF006100"/>
      </font>
      <fill>
        <patternFill>
          <bgColor rgb="FFC6EFCE"/>
        </patternFill>
      </fill>
    </dxf>
    <dxf>
      <font>
        <b val="1"/>
        <color rgb="FF006100"/>
      </font>
      <fill>
        <patternFill>
          <bgColor rgb="FFC6EFCE"/>
        </patternFill>
      </fill>
    </dxf>
    <dxf>
      <font>
        <b val="1"/>
        <color rgb="FF9C0006"/>
      </font>
      <fill>
        <patternFill>
          <bgColor rgb="FFFFC7CE"/>
        </patternFill>
      </fill>
    </dxf>
    <dxf>
      <font>
        <b val="1"/>
        <color rgb="FF006100"/>
      </font>
      <fill>
        <patternFill>
          <bgColor rgb="FFC6EFCE"/>
        </patternFill>
      </fill>
    </dxf>
    <dxf>
      <font>
        <b val="1"/>
      </font>
      <fill>
        <patternFill>
          <bgColor rgb="FFFFFF00"/>
        </patternFill>
      </fill>
    </dxf>
    <dxf>
      <font>
        <b val="1"/>
        <color rgb="FF006100"/>
      </font>
      <fill>
        <patternFill>
          <bgColor rgb="FFC6EFCE"/>
        </patternFill>
      </fill>
    </dxf>
    <dxf>
      <font>
        <b val="1"/>
        <color rgb="FF9C0006"/>
      </font>
      <fill>
        <patternFill>
          <bgColor rgb="FFFFC7CE"/>
        </patternFill>
      </fill>
    </dxf>
    <dxf>
      <font>
        <b val="1"/>
        <color rgb="FF006100"/>
      </font>
      <fill>
        <patternFill>
          <bgColor rgb="FFC6EFCE"/>
        </patternFill>
      </fill>
    </dxf>
    <dxf>
      <font>
        <b val="1"/>
      </font>
      <fill>
        <patternFill>
          <bgColor rgb="FFFFFF00"/>
        </patternFill>
      </fill>
    </dxf>
    <dxf>
      <font>
        <b val="1"/>
        <color rgb="FF006100"/>
      </font>
      <fill>
        <patternFill>
          <bgColor rgb="FFC6EFCE"/>
        </patternFill>
      </fill>
    </dxf>
    <dxf>
      <font>
        <b val="1"/>
        <color rgb="FF9C0006"/>
      </font>
      <fill>
        <patternFill>
          <bgColor rgb="FFFFC7CE"/>
        </patternFill>
      </fill>
    </dxf>
    <dxf>
      <font>
        <b val="1"/>
        <color rgb="FF006100"/>
      </font>
      <fill>
        <patternFill>
          <bgColor rgb="FFC6EFCE"/>
        </patternFill>
      </fill>
    </dxf>
    <dxf>
      <font>
        <b val="1"/>
      </font>
      <fill>
        <patternFill>
          <bgColor rgb="FFFFFF00"/>
        </patternFill>
      </fill>
    </dxf>
    <dxf>
      <font>
        <b val="1"/>
        <color rgb="FF006100"/>
      </font>
      <fill>
        <patternFill>
          <bgColor rgb="FFC6EFCE"/>
        </patternFill>
      </fill>
    </dxf>
    <dxf>
      <font>
        <b val="1"/>
      </font>
      <fill>
        <patternFill>
          <bgColor rgb="FFFFFF00"/>
        </patternFill>
      </fill>
    </dxf>
    <dxf>
      <font>
        <b val="1"/>
        <color rgb="FF006100"/>
      </font>
      <fill>
        <patternFill>
          <bgColor rgb="FFC6EFCE"/>
        </patternFill>
      </fill>
    </dxf>
    <dxf>
      <font>
        <b val="1"/>
        <color rgb="FF9C0006"/>
      </font>
      <fill>
        <patternFill>
          <bgColor rgb="FFFFC7CE"/>
        </patternFill>
      </fill>
    </dxf>
    <dxf>
      <font>
        <b val="1"/>
      </font>
      <fill>
        <patternFill>
          <bgColor rgb="FFFFFF00"/>
        </patternFill>
      </fill>
    </dxf>
    <dxf>
      <font>
        <b val="1"/>
      </font>
      <fill>
        <patternFill>
          <bgColor rgb="FFFFFF00"/>
        </patternFill>
      </fill>
    </dxf>
    <dxf>
      <font>
        <b val="1"/>
      </font>
      <fill>
        <patternFill>
          <bgColor rgb="FFFFFF00"/>
        </patternFill>
      </fill>
    </dxf>
  </dxfs>
  <colors>
    <indexedColors>
      <rgbColor rgb="FF000000"/>
      <rgbColor rgb="FFFFFFFF"/>
      <rgbColor rgb="FFFF0000"/>
      <rgbColor rgb="FF00FF00"/>
      <rgbColor rgb="FF0000FF"/>
      <rgbColor rgb="FFFFFF00"/>
      <rgbColor rgb="FFFF00FF"/>
      <rgbColor rgb="FFF2F2F2"/>
      <rgbColor rgb="FF9C0006"/>
      <rgbColor rgb="FF006100"/>
      <rgbColor rgb="FF000080"/>
      <rgbColor rgb="FFF2545B"/>
      <rgbColor rgb="FF800080"/>
      <rgbColor rgb="FF31859C"/>
      <rgbColor rgb="FFBFBFBF"/>
      <rgbColor rgb="FF7F7F7F"/>
      <rgbColor rgb="FFDDD9C3"/>
      <rgbColor rgb="FFC0514D"/>
      <rgbColor rgb="FFEAF1DD"/>
      <rgbColor rgb="FFDBEEF3"/>
      <rgbColor rgb="FF660066"/>
      <rgbColor rgb="FFFF8F59"/>
      <rgbColor rgb="FF1155CC"/>
      <rgbColor rgb="FFC6D9F0"/>
      <rgbColor rgb="FF000080"/>
      <rgbColor rgb="FFFF00FF"/>
      <rgbColor rgb="FFEEECE1"/>
      <rgbColor rgb="FFF2DCDB"/>
      <rgbColor rgb="FF800080"/>
      <rgbColor rgb="FF800000"/>
      <rgbColor rgb="FF376092"/>
      <rgbColor rgb="FF0000FF"/>
      <rgbColor rgb="FF00B0F0"/>
      <rgbColor rgb="FFDCE5F1"/>
      <rgbColor rgb="FFC6EFCE"/>
      <rgbColor rgb="FFFFEB9C"/>
      <rgbColor rgb="FFB9D2D4"/>
      <rgbColor rgb="FFFFC7CE"/>
      <rgbColor rgb="FFD9D9D9"/>
      <rgbColor rgb="FFFBD4B4"/>
      <rgbColor rgb="FF4F81BD"/>
      <rgbColor rgb="FFE5DFEC"/>
      <rgbColor rgb="FF92D050"/>
      <rgbColor rgb="FFFBBC04"/>
      <rgbColor rgb="FFFF9900"/>
      <rgbColor rgb="FFE36B09"/>
      <rgbColor rgb="FF6A78D1"/>
      <rgbColor rgb="FF878787"/>
      <rgbColor rgb="FF003366"/>
      <rgbColor rgb="FF2A7E7E"/>
      <rgbColor rgb="FF003300"/>
      <rgbColor rgb="FF333300"/>
      <rgbColor rgb="FF9C5700"/>
      <rgbColor rgb="FF5F4979"/>
      <rgbColor rgb="FF1F4A7E"/>
      <rgbColor rgb="FF2D3E5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externalLink" Target="externalLinks/externalLink1.xml"/><Relationship Id="rId14"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lang="en-IN" sz="1800" b="1" u="none" strike="noStrike">
                <a:solidFill>
                  <a:srgbClr val="000000"/>
                </a:solidFill>
                <a:uFillTx/>
                <a:latin typeface="Calibri"/>
              </a:rPr>
              <a:t>Completion % by Website</a:t>
            </a:r>
          </a:p>
        </c:rich>
      </c:tx>
      <c:overlay val="0"/>
      <c:spPr>
        <a:noFill/>
        <a:ln w="0">
          <a:noFill/>
        </a:ln>
      </c:spPr>
    </c:title>
    <c:autoTitleDeleted val="0"/>
    <c:plotArea>
      <c:barChart>
        <c:barDir val="col"/>
        <c:grouping val="clustered"/>
        <c:varyColors val="0"/>
        <c:ser>
          <c:idx val="0"/>
          <c:order val="0"/>
          <c:tx>
            <c:strRef>
              <c:f>Dashboard!$G$4</c:f>
              <c:strCache>
                <c:ptCount val="1"/>
                <c:pt idx="0">
                  <c:v>Completion %</c:v>
                </c:pt>
              </c:strCache>
            </c:strRef>
          </c:tx>
          <c:spPr>
            <a:solidFill>
              <a:srgbClr val="4F81BD"/>
            </a:solidFill>
            <a:ln w="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Dashboard!$B$5:$B$7</c:f>
              <c:strCache>
                <c:ptCount val="3"/>
                <c:pt idx="0">
                  <c:v>Website 1</c:v>
                </c:pt>
                <c:pt idx="1">
                  <c:v>Website 2</c:v>
                </c:pt>
                <c:pt idx="2">
                  <c:v>Website 3</c:v>
                </c:pt>
              </c:strCache>
            </c:strRef>
          </c:cat>
          <c:val>
            <c:numRef>
              <c:f>Dashboard!$G$5:$G$7</c:f>
              <c:numCache>
                <c:formatCode>0%</c:formatCode>
                <c:ptCount val="3"/>
                <c:pt idx="0">
                  <c:v>0.526315789473684</c:v>
                </c:pt>
                <c:pt idx="1">
                  <c:v>0.526315789473684</c:v>
                </c:pt>
                <c:pt idx="2">
                  <c:v>0.473684210526316</c:v>
                </c:pt>
              </c:numCache>
            </c:numRef>
          </c:val>
        </c:ser>
        <c:gapWidth val="150"/>
        <c:overlap val="0"/>
        <c:axId val="17509172"/>
        <c:axId val="5986749"/>
      </c:barChart>
      <c:catAx>
        <c:axId val="17509172"/>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986749"/>
        <c:crosses val="autoZero"/>
        <c:auto val="1"/>
        <c:lblAlgn val="ctr"/>
        <c:lblOffset val="100"/>
        <c:noMultiLvlLbl val="0"/>
      </c:catAx>
      <c:valAx>
        <c:axId val="5986749"/>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lang="en-IN" sz="1000" b="1" u="none" strike="noStrike">
                    <a:solidFill>
                      <a:srgbClr val="000000"/>
                    </a:solidFill>
                    <a:uFillTx/>
                    <a:latin typeface="Calibri"/>
                  </a:rPr>
                  <a:t>%</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750917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10</xdr:row>
      <xdr:rowOff>0</xdr:rowOff>
    </xdr:from>
    <xdr:to>
      <xdr:col>5</xdr:col>
      <xdr:colOff>518760</xdr:colOff>
      <xdr:row>22</xdr:row>
      <xdr:rowOff>158040</xdr:rowOff>
    </xdr:to>
    <xdr:graphicFrame>
      <xdr:nvGraphicFramePr>
        <xdr:cNvPr id="1" name="图表 1"/>
        <xdr:cNvGraphicFramePr/>
      </xdr:nvGraphicFramePr>
      <xdr:xfrm>
        <a:off x="281880" y="2130480"/>
        <a:ext cx="5029920" cy="20631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Users/abeltis/Downloads/SocialBulk_03_18_2019_hubId_2590793.xls"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Accounts"/>
      <sheetName val="Campaigns"/>
    </sheetNames>
    <sheetDataSet>
      <sheetData sheetId="0"/>
      <sheetData sheetId="1"/>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hyperlink" Target="https://m.facebook.com/boat.lifestyle/" TargetMode="External"/><Relationship Id="rId2" Type="http://schemas.openxmlformats.org/officeDocument/2006/relationships/hyperlink" Target="mailto:support@boat-lifestyle.com" TargetMode="External"/><Relationship Id="rId3" Type="http://schemas.openxmlformats.org/officeDocument/2006/relationships/hyperlink" Target="https://x.com/RockWithboAt" TargetMode="External"/><Relationship Id="rId4" Type="http://schemas.openxmlformats.org/officeDocument/2006/relationships/hyperlink" Target="https://linkedin.com/company/boat-lifestyle" TargetMode="External"/><Relationship Id="rId5" Type="http://schemas.openxmlformats.org/officeDocument/2006/relationships/hyperlink" Target="https://youtube.com/@boat-lifestyle?si=tg5WT2eVHwtmGCpk" TargetMode="External"/><Relationship Id="rId6" Type="http://schemas.openxmlformats.org/officeDocument/2006/relationships/hyperlink" Target="https://www.instagram.com/boat.nirvana/" TargetMode="External"/><Relationship Id="rId7" Type="http://schemas.openxmlformats.org/officeDocument/2006/relationships/hyperlink" Target="https://youtube.com/@boat-lifestyle?si=tg5WT2eVHwtmGCpk" TargetMode="External"/><Relationship Id="rId8" Type="http://schemas.openxmlformats.org/officeDocument/2006/relationships/hyperlink" Target="https://www.boat-lifestyle.com/" TargetMode="External"/>
</Relationships>
</file>

<file path=xl/worksheets/_rels/sheet5.xml.rels><?xml version="1.0" encoding="UTF-8"?>
<Relationships xmlns="http://schemas.openxmlformats.org/package/2006/relationships"><Relationship Id="rId1" Type="http://schemas.openxmlformats.org/officeDocument/2006/relationships/hyperlink" Target="https://facebook.com/Gonoise" TargetMode="External"/><Relationship Id="rId2" Type="http://schemas.openxmlformats.org/officeDocument/2006/relationships/hyperlink" Target="mailto:support@goniose.com" TargetMode="External"/><Relationship Id="rId3" Type="http://schemas.openxmlformats.org/officeDocument/2006/relationships/hyperlink" Target="https://x.com/gonoise" TargetMode="External"/><Relationship Id="rId4" Type="http://schemas.openxmlformats.org/officeDocument/2006/relationships/hyperlink" Target="https://linkedin.com/company/gonoise-com" TargetMode="External"/><Relationship Id="rId5" Type="http://schemas.openxmlformats.org/officeDocument/2006/relationships/hyperlink" Target="https://youtube.com/@gonoise_official?si=eGW94LEYULxlsRha" TargetMode="External"/><Relationship Id="rId6" Type="http://schemas.openxmlformats.org/officeDocument/2006/relationships/hyperlink" Target="https://www.instagram.com/go_noise/" TargetMode="External"/><Relationship Id="rId7" Type="http://schemas.openxmlformats.org/officeDocument/2006/relationships/hyperlink" Target="https://www.gonoise.com/" TargetMode="External"/>
</Relationships>
</file>

<file path=xl/worksheets/_rels/sheet6.xml.rels><?xml version="1.0" encoding="UTF-8"?>
<Relationships xmlns="http://schemas.openxmlformats.org/package/2006/relationships"><Relationship Id="rId1" Type="http://schemas.openxmlformats.org/officeDocument/2006/relationships/hyperlink" Target="https://www.facebook.com/GOBOULT" TargetMode="External"/><Relationship Id="rId2" Type="http://schemas.openxmlformats.org/officeDocument/2006/relationships/hyperlink" Target="mailto:support@boultaudio.com" TargetMode="External"/><Relationship Id="rId3" Type="http://schemas.openxmlformats.org/officeDocument/2006/relationships/hyperlink" Target="https://x.com/boultaudio" TargetMode="External"/><Relationship Id="rId4" Type="http://schemas.openxmlformats.org/officeDocument/2006/relationships/hyperlink" Target="https://linkedin.com/company/boultaudio" TargetMode="External"/><Relationship Id="rId5" Type="http://schemas.openxmlformats.org/officeDocument/2006/relationships/hyperlink" Target="https://youtube.com/@goboult?si=XFATJhbfacYrvr_6" TargetMode="External"/><Relationship Id="rId6" Type="http://schemas.openxmlformats.org/officeDocument/2006/relationships/hyperlink" Target="https://www.instagram.com/goboult_official/" TargetMode="External"/><Relationship Id="rId7" Type="http://schemas.openxmlformats.org/officeDocument/2006/relationships/hyperlink" Target="https://www.boultaudio.com/" TargetMode="External"/>
</Relationships>
</file>

<file path=xl/worksheets/_rels/sheet8.xml.rels><?xml version="1.0" encoding="UTF-8"?>
<Relationships xmlns="http://schemas.openxmlformats.org/package/2006/relationships"><Relationship Id="rId1" Type="http://schemas.openxmlformats.org/officeDocument/2006/relationships/hyperlink" Target="https://www.prepbytes.com/" TargetMode="External"/><Relationship Id="rId2" Type="http://schemas.openxmlformats.org/officeDocument/2006/relationships/hyperlink" Target="https://www.instagram.com/prepbytes" TargetMode="External"/><Relationship Id="rId3" Type="http://schemas.openxmlformats.org/officeDocument/2006/relationships/hyperlink" Target="https://x.com/prepbytes0211" TargetMode="External"/><Relationship Id="rId4" Type="http://schemas.openxmlformats.org/officeDocument/2006/relationships/hyperlink" Target="https://www.linkedin.com/company/prepbytes/" TargetMode="External"/><Relationship Id="rId5" Type="http://schemas.openxmlformats.org/officeDocument/2006/relationships/hyperlink" Target="https://www.facebook.com/prepbytes0211/" TargetMode="External"/><Relationship Id="rId6" Type="http://schemas.openxmlformats.org/officeDocument/2006/relationships/hyperlink" Target="https://internshala.com/" TargetMode="External"/><Relationship Id="rId7" Type="http://schemas.openxmlformats.org/officeDocument/2006/relationships/hyperlink" Target="https://www.instagram.com/internshala" TargetMode="External"/><Relationship Id="rId8" Type="http://schemas.openxmlformats.org/officeDocument/2006/relationships/hyperlink" Target="https://x.com/Internshala" TargetMode="External"/><Relationship Id="rId9" Type="http://schemas.openxmlformats.org/officeDocument/2006/relationships/hyperlink" Target="https://www.linkedin.com/company/internshala/" TargetMode="External"/><Relationship Id="rId10" Type="http://schemas.openxmlformats.org/officeDocument/2006/relationships/hyperlink" Target="https://www.facebook.com/Internshala/" TargetMode="External"/><Relationship Id="rId11" Type="http://schemas.openxmlformats.org/officeDocument/2006/relationships/hyperlink" Target="https://unstop.com/" TargetMode="External"/><Relationship Id="rId12" Type="http://schemas.openxmlformats.org/officeDocument/2006/relationships/hyperlink" Target="https://www.instagram.com/unstop.world" TargetMode="External"/><Relationship Id="rId13" Type="http://schemas.openxmlformats.org/officeDocument/2006/relationships/hyperlink" Target="https://x.com/Unstop_World" TargetMode="External"/><Relationship Id="rId14" Type="http://schemas.openxmlformats.org/officeDocument/2006/relationships/hyperlink" Target="https://www.linkedin.com/company/unstop/" TargetMode="External"/><Relationship Id="rId15" Type="http://schemas.openxmlformats.org/officeDocument/2006/relationships/hyperlink" Target="https://www.facebook.com/Unstop.World/" TargetMode="External"/><Relationship Id="rId16" Type="http://schemas.openxmlformats.org/officeDocument/2006/relationships/hyperlink" Target="https://www.eventbeep.com/en" TargetMode="External"/><Relationship Id="rId17" Type="http://schemas.openxmlformats.org/officeDocument/2006/relationships/hyperlink" Target="https://www.instagram.com/beepappofficial" TargetMode="External"/><Relationship Id="rId18" Type="http://schemas.openxmlformats.org/officeDocument/2006/relationships/hyperlink" Target="https://x.com/event_beep" TargetMode="External"/><Relationship Id="rId19" Type="http://schemas.openxmlformats.org/officeDocument/2006/relationships/hyperlink" Target="https://www.linkedin.com/company/beepappofficial/" TargetMode="External"/><Relationship Id="rId20" Type="http://schemas.openxmlformats.org/officeDocument/2006/relationships/hyperlink" Target="https://www.facebook.com/EventBeep/" TargetMode="External"/><Relationship Id="rId21" Type="http://schemas.openxmlformats.org/officeDocument/2006/relationships/hyperlink" Target="https://www.scaler.com/" TargetMode="External"/><Relationship Id="rId22" Type="http://schemas.openxmlformats.org/officeDocument/2006/relationships/hyperlink" Target="https://www.instagram.com/scaler_official" TargetMode="External"/><Relationship Id="rId23" Type="http://schemas.openxmlformats.org/officeDocument/2006/relationships/hyperlink" Target="https://x.com/scaler_official" TargetMode="External"/><Relationship Id="rId24" Type="http://schemas.openxmlformats.org/officeDocument/2006/relationships/hyperlink" Target="https://www.linkedin.com/school/scalerofficial/" TargetMode="External"/><Relationship Id="rId25" Type="http://schemas.openxmlformats.org/officeDocument/2006/relationships/hyperlink" Target="https://www.facebook.com/scalerofficial/" TargetMode="External"/><Relationship Id="rId26" Type="http://schemas.openxmlformats.org/officeDocument/2006/relationships/hyperlink" Target="https://www.simplilearn.com/" TargetMode="External"/><Relationship Id="rId27" Type="http://schemas.openxmlformats.org/officeDocument/2006/relationships/hyperlink" Target="https://www.instagram.com/simplilearn_official" TargetMode="External"/><Relationship Id="rId28" Type="http://schemas.openxmlformats.org/officeDocument/2006/relationships/hyperlink" Target="https://x.com/simplilearn" TargetMode="External"/><Relationship Id="rId29" Type="http://schemas.openxmlformats.org/officeDocument/2006/relationships/hyperlink" Target="https://www.linkedin.com/company/simplilearn/" TargetMode="External"/><Relationship Id="rId30" Type="http://schemas.openxmlformats.org/officeDocument/2006/relationships/hyperlink" Target="https://www.facebook.com/SimplilearnIndia/" TargetMode="External"/><Relationship Id="rId31" Type="http://schemas.openxmlformats.org/officeDocument/2006/relationships/hyperlink" Target="https://www.codingblocks.com/" TargetMode="External"/><Relationship Id="rId32" Type="http://schemas.openxmlformats.org/officeDocument/2006/relationships/hyperlink" Target="https://www.instagram.com/codingblocks" TargetMode="External"/><Relationship Id="rId33" Type="http://schemas.openxmlformats.org/officeDocument/2006/relationships/hyperlink" Target="https://x.com/CodingBlocksIn" TargetMode="External"/><Relationship Id="rId34" Type="http://schemas.openxmlformats.org/officeDocument/2006/relationships/hyperlink" Target="https://www.linkedin.com/school/codingblocksindia/" TargetMode="External"/><Relationship Id="rId35" Type="http://schemas.openxmlformats.org/officeDocument/2006/relationships/hyperlink" Target="https://www.facebook.com/codingblocksindia/" TargetMode="External"/><Relationship Id="rId36" Type="http://schemas.openxmlformats.org/officeDocument/2006/relationships/hyperlink" Target="https://www.upgrad.com/" TargetMode="External"/><Relationship Id="rId37" Type="http://schemas.openxmlformats.org/officeDocument/2006/relationships/hyperlink" Target="https://www.instagram.com/upgrad_edu" TargetMode="External"/><Relationship Id="rId38" Type="http://schemas.openxmlformats.org/officeDocument/2006/relationships/hyperlink" Target="https://x.com/upGrad_edu" TargetMode="External"/><Relationship Id="rId39" Type="http://schemas.openxmlformats.org/officeDocument/2006/relationships/hyperlink" Target="https://www.linkedin.com/company/ueducation/" TargetMode="External"/><Relationship Id="rId40" Type="http://schemas.openxmlformats.org/officeDocument/2006/relationships/hyperlink" Target="https://www.facebook.com/upGradGlobal/" TargetMode="External"/><Relationship Id="rId41" Type="http://schemas.openxmlformats.org/officeDocument/2006/relationships/hyperlink" Target="https://www.mygreatlearning.com/" TargetMode="External"/><Relationship Id="rId42" Type="http://schemas.openxmlformats.org/officeDocument/2006/relationships/hyperlink" Target="https://www.instagram.com/greatlearningofficial" TargetMode="External"/><Relationship Id="rId43" Type="http://schemas.openxmlformats.org/officeDocument/2006/relationships/hyperlink" Target="https://x.com/Great_Learning" TargetMode="External"/><Relationship Id="rId44" Type="http://schemas.openxmlformats.org/officeDocument/2006/relationships/hyperlink" Target="https://www.linkedin.com/school/great-learning/" TargetMode="External"/><Relationship Id="rId45" Type="http://schemas.openxmlformats.org/officeDocument/2006/relationships/hyperlink" Target="https://www.facebook.com/GreatLearningOfficial/" TargetMode="External"/><Relationship Id="rId46" Type="http://schemas.openxmlformats.org/officeDocument/2006/relationships/hyperlink" Target="https://www.codingninjas.com/" TargetMode="External"/><Relationship Id="rId47" Type="http://schemas.openxmlformats.org/officeDocument/2006/relationships/hyperlink" Target="https://www.instagram.com/coding.ninjas" TargetMode="External"/><Relationship Id="rId48" Type="http://schemas.openxmlformats.org/officeDocument/2006/relationships/hyperlink" Target="https://x.com/CodingNinjasOff" TargetMode="External"/><Relationship Id="rId49" Type="http://schemas.openxmlformats.org/officeDocument/2006/relationships/hyperlink" Target="https://www.linkedin.com/school/codingninjas/" TargetMode="External"/><Relationship Id="rId50" Type="http://schemas.openxmlformats.org/officeDocument/2006/relationships/hyperlink" Target="https://www.facebook.com/codingninjas/" TargetMode="External"/>
</Relationships>
</file>

<file path=xl/worksheets/_rels/sheet9.xml.rels><?xml version="1.0" encoding="UTF-8"?>
<Relationships xmlns="http://schemas.openxmlformats.org/package/2006/relationships"><Relationship Id="rId1" Type="http://schemas.openxmlformats.org/officeDocument/2006/relationships/hyperlink" Target="https://blog.hootsuite.com/linkedin-hashtags-guide/" TargetMode="External"/><Relationship Id="rId2" Type="http://schemas.openxmlformats.org/officeDocument/2006/relationships/hyperlink" Target="https://www.canva.com/design/XXXXX" TargetMode="External"/>
</Relationships>
</file>

<file path=xl/worksheets/_rels/sheet10.xml.rels><?xml version="1.0" encoding="UTF-8"?>
<Relationships xmlns="http://schemas.openxmlformats.org/package/2006/relationships"><Relationship Id="rId1" Type="http://schemas.openxmlformats.org/officeDocument/2006/relationships/hyperlink" Target="https://www.linkedin.com/posts/ineubytes_datascientist-datasciencetraining-machinelearning-activity-7072525201032282112-HY1y?utm_source=share&amp;utm_medium=member_desktop" TargetMode="External"/><Relationship Id="rId2" Type="http://schemas.openxmlformats.org/officeDocument/2006/relationships/hyperlink" Target="https://www.linkedin.com/posts/mohit-sukhija_ineubytes-ineubytes-brandvisibility-activity-7481693819051130880-KdKQ?utm_source=social_share_send&amp;utm_medium=android_app&amp;rcm=ACoAAGaFDK0BbyG1T-wOG0OIQPBDmmlKf9CNHpM&amp;utm_campaign=copy_link" TargetMode="External"/><Relationship Id="rId3" Type="http://schemas.openxmlformats.org/officeDocument/2006/relationships/hyperlink" Target="https://www.linkedin.com/posts/mohit-sukhija_ineubytes-ineubytes-contentcreator-activity-7481739080507187201-7sXn?utm_source=social_share_send&amp;utm_medium=android_app&amp;rcm=ACoAAGaFDK0BbyG1T-wOG0OIQPBDmmlKf9CNHpM&amp;utm_campaign=copy_link" TargetMode="External"/><Relationship Id="rId4" Type="http://schemas.openxmlformats.org/officeDocument/2006/relationships/hyperlink" Target="https://www.linkedin.com/posts/mohit-sukhija_ineubytes-onlineinternship-ineubytesintership-activity-7482063727001878528-BoLi?utm_source=social_share_send&amp;utm_medium=android_app&amp;rcm=ACoAAGaFDK0BbyG1T-wOG0OIQPBDmmlKf9CNHpM&amp;utm_campaign=copy_link" TargetMode="External"/><Relationship Id="rId5" Type="http://schemas.openxmlformats.org/officeDocument/2006/relationships/hyperlink" Target="https://www.linkedin.com/posts/mohit-sukhija_ineubytes-internship-certificates-activity-7482101470532923392-Ht3u?utm_source=social_share_send&amp;utm_medium=android_app&amp;rcm=ACoAAGaFDK0BbyG1T-wOG0OIQPBDmmlKf9CNHpM&amp;utm_campaign=copy_link" TargetMode="External"/><Relationship Id="rId6" Type="http://schemas.openxmlformats.org/officeDocument/2006/relationships/hyperlink" Target="https://www.linkedin.com/posts/mohit-sukhija_ineubytes-ineubytesinternship-onlineinternship-activity-7482426149864841216-xmLC?utm_source=social_share_send&amp;utm_medium=android_app&amp;rcm=ACoAAGaFDK0BbyG1T-wOG0OIQPBDmmlKf9CNHpM&amp;utm_campaign=copy_link" TargetMode="External"/><Relationship Id="rId7" Type="http://schemas.openxmlformats.org/officeDocument/2006/relationships/hyperlink" Target="https://www.linkedin.com/posts/mohit-sukhija_ineubytes-onlineinternship-ineubytesinternship-activity-7482463901285130240-AOnc?utm_source=social_share_send&amp;utm_medium=android_app&amp;rcm=ACoAAGaFDK0BbyG1T-wOG0OIQPBDmmlKf9CNHpM&amp;utm_campaign=copy_link" TargetMode="External"/><Relationship Id="rId8" Type="http://schemas.openxmlformats.org/officeDocument/2006/relationships/hyperlink" Target="https://www.linkedin.com/posts/mohit-sukhija_ineubytes-ineubytesintership-onlineinternship-activity-7482701443544600576-tFCQ?utm_source=social_share_send&amp;utm_medium=android_app&amp;rcm=ACoAAGaFDK0BbyG1T-wOG0OIQPBDmmlKf9CNHpM&amp;utm_campaign=copy_link" TargetMode="External"/><Relationship Id="rId9" Type="http://schemas.openxmlformats.org/officeDocument/2006/relationships/hyperlink" Target="https://www.linkedin.com/posts/mohit-sukhija_ineubytes-ineubytesinternship-onlineinternship-activity-7482826340757426176-a1s_?utm_source=social_share_send&amp;utm_medium=android_app&amp;rcm=ACoAAGaFDK0BbyG1T-wOG0OIQPBDmmlKf9CNHpM&amp;utm_campaign=copy_link" TargetMode="External"/><Relationship Id="rId10" Type="http://schemas.openxmlformats.org/officeDocument/2006/relationships/hyperlink" Target="https://www.linkedin.com/posts/mohit-sukhija_ineubytes-ineubytesinternship-onlineinternship-activity-7483158475489951744-hxPh?utm_source=social_share_send&amp;utm_medium=android_app&amp;rcm=ACoAAGaFDK0BbyG1T-wOG0OIQPBDmmlKf9CNHpM&amp;utm_campaign=copy_link" TargetMode="External"/><Relationship Id="rId11" Type="http://schemas.openxmlformats.org/officeDocument/2006/relationships/hyperlink" Target="https://www.linkedin.com/posts/mohit-sukhija_ineubytes-onlineintership-virtualinternship-activity-7483181097917366272-8ZcP?utm_source=social_share_send&amp;utm_medium=android_app&amp;rcm=ACoAAGaFDK0BbyG1T-wOG0OIQPBDmmlKf9CNHpM&amp;utm_campaign=copy_link" TargetMode="External"/><Relationship Id="rId12" Type="http://schemas.openxmlformats.org/officeDocument/2006/relationships/hyperlink" Target="https://www.linkedin.com/posts/mohit-sukhija_ineubytes-ineubytesinternship-onlineinternship-activity-7483188783400529920-JkDY?utm_source=social_share_send&amp;utm_medium=android_app&amp;rcm=ACoAAGaFDK0BbyG1T-wOG0OIQPBDmmlKf9CNHpM&amp;utm_campaign=copy_link" TargetMode="External"/><Relationship Id="rId13" Type="http://schemas.openxmlformats.org/officeDocument/2006/relationships/hyperlink" Target="https://www.linkedin.com/posts/mohit-sukhija_ineubytes-google-chrome-activity-7483513326409248769-BkIx?utm_source=social_share_send&amp;utm_medium=android_app&amp;rcm=ACoAAGaFDK0BbyG1T-wOG0OIQPBDmmlKf9CNHpM&amp;utm_campaign=copy_link" TargetMode="External"/><Relationship Id="rId14" Type="http://schemas.openxmlformats.org/officeDocument/2006/relationships/hyperlink" Target="https://www.linkedin.com/posts/mohit-sukhija_amazon-flipkart-business-activity-7483543490501431296-9i1a?utm_source=social_share_send&amp;utm_medium=android_app&amp;rcm=ACoAAGaFDK0BbyG1T-wOG0OIQPBDmmlKf9CNHpM&amp;utm_campaign=copy_link" TargetMode="External"/><Relationship Id="rId15" Type="http://schemas.openxmlformats.org/officeDocument/2006/relationships/hyperlink" Target="https://www.linkedin.com/posts/mohit-sukhija_aws-amazon-jeffbezos-activity-7483732269828943872-x3o4?utm_source=social_share_send&amp;utm_medium=android_app&amp;rcm=ACoAAGaFDK0BbyG1T-wOG0OIQPBDmmlKf9CNHpM&amp;utm_campaign=copy_link" TargetMode="External"/><Relationship Id="rId16" Type="http://schemas.openxmlformats.org/officeDocument/2006/relationships/hyperlink" Target="https://www.linkedin.com/posts/mohit-sukhija_artificialintelligence-chatgpt-claude-activity-7483868110924472320-UOCM?utm_source=social_share_send&amp;utm_medium=android_app&amp;rcm=ACoAAGaFDK0BbyG1T-wOG0OIQPBDmmlKf9CNHpM&amp;utm_campaign=copy_link" TargetMode="External"/><Relationship Id="rId17" Type="http://schemas.openxmlformats.org/officeDocument/2006/relationships/hyperlink" Target="https://www.linkedin.com/posts/mohit-sukhija_ineubytes-samsung-tech-activity-7483890785461956608-0Q-s?utm_source=social_share_send&amp;utm_medium=android_app&amp;rcm=ACoAAGaFDK0BbyG1T-wOG0OIQPBDmmlKf9CNHpM&amp;utm_campaign=copy_link" TargetMode="External"/><Relationship Id="rId18" Type="http://schemas.openxmlformats.org/officeDocument/2006/relationships/hyperlink" Target="https://www.linkedin.com/posts/mohit-sukhija_samsung-info-adapting-activity-7484260699012014080-FEZV?utm_source=social_share_send&amp;utm_medium=android_app&amp;rcm=ACoAAGaFDK0BbyG1T-wOG0OIQPBDmmlKf9CNHpM&amp;utm_campaign=copy_link" TargetMode="External"/><Relationship Id="rId19" Type="http://schemas.openxmlformats.org/officeDocument/2006/relationships/hyperlink" Target="https://www.linkedin.com/posts/mohit-sukhija_ineubytes-internship-onlineinternship-activity-7484275805519237120-N6lH?utm_source=social_share_send&amp;utm_medium=android_app&amp;rcm=ACoAAGaFDK0BbyG1T-wOG0OIQPBDmmlKf9CNHpM&amp;utm_campaign=copy_link" TargetMode="External"/><Relationship Id="rId20" Type="http://schemas.openxmlformats.org/officeDocument/2006/relationships/hyperlink" Target="https://www.linkedin.com/posts/mohit-sukhija_ineubytes-digital-marketing-activity-7484600532821532672-p2gV?utm_source=social_share_send&amp;utm_medium=android_app&amp;rcm=ACoAAGaFDK0BbyG1T-wOG0OIQPBDmmlKf9CNHpM&amp;utm_campaign=copy_link" TargetMode="External"/><Relationship Id="rId21" Type="http://schemas.openxmlformats.org/officeDocument/2006/relationships/hyperlink" Target="https://www.linkedin.com/posts/mohit-sukhija_ineubytes-digital-marketing-activity-7484615552284626945-5OG9?utm_source=social_share_send&amp;utm_medium=android_app&amp;rcm=ACoAAGaFDK0BbyG1T-wOG0OIQPBDmmlKf9CNHpM&amp;utm_campaign=copy_link" TargetMode="External"/><Relationship Id="rId22" Type="http://schemas.openxmlformats.org/officeDocument/2006/relationships/hyperlink" Target="https://www.linkedin.com/posts/mohit-sukhija_ineubytes-ineubytesinternship-digitalmarketing-activity-7484630637073821696-HnuO?utm_source=social_share_send&amp;utm_medium=android_app&amp;rcm=ACoAAGaFDK0BbyG1T-wOG0OIQPBDmmlKf9CNHpM&amp;utm_campaign=copy_link" TargetMode="External"/><Relationship Id="rId23" Type="http://schemas.openxmlformats.org/officeDocument/2006/relationships/hyperlink" Target="https://www.linkedin.com/posts/mohit-sukhija_growth-ineubytes-digital-activity-7484947748446932995-ljf5?utm_source=social_share_send&amp;utm_medium=android_app&amp;rcm=ACoAAGaFDK0BbyG1T-wOG0OIQPBDmmlKf9CNHpM&amp;utm_campaign=copy_link" TargetMode="External"/><Relationship Id="rId24" Type="http://schemas.openxmlformats.org/officeDocument/2006/relationships/hyperlink" Target="https://www.linkedin.com/posts/mohit-sukhija_ineubytes-techhistory-branding-activity-7484981706270285824-nsDw?utm_source=social_share_send&amp;utm_medium=android_app&amp;rcm=ACoAAGaFDK0BbyG1T-wOG0OIQPBDmmlKf9CNHpM&amp;utm_campaign=copy_link" TargetMode="External"/><Relationship Id="rId25" Type="http://schemas.openxmlformats.org/officeDocument/2006/relationships/hyperlink" Target="https://www.linkedin.com/posts/mohit-sukhija_casestudy-leadership-personalbranding-activity-7485302630311673856-jLz_?utm_source=social_share_send&amp;utm_medium=android_app&amp;rcm=ACoAAGaFDK0BbyG1T-wOG0OIQPBDmmlKf9CNHpM&amp;utm_campaign=copy_link" TargetMode="External"/><Relationship Id="rId26" Type="http://schemas.openxmlformats.org/officeDocument/2006/relationships/hyperlink" Target="https://www.linkedin.com/posts/mohit-sukhija_ineubytes-onlineinternship-digitalmarketing-activity-7485317770029699075-ecZv?utm_source=social_share_send&amp;utm_medium=android_app&amp;rcm=ACoAAGaFDK0BbyG1T-wOG0OIQPBDmmlKf9CNHpM&amp;utm_campaign=copy_link" TargetMode="External"/><Relationship Id="rId27" Type="http://schemas.openxmlformats.org/officeDocument/2006/relationships/hyperlink" Target="https://www.linkedin.com/posts/mohit-sukhija_ineubytes-ineubytesinternship-digitalmarketing-activity-7485332849122758656-KcTO?utm_source=social_share_send&amp;utm_medium=android_app&amp;rcm=ACoAAGaFDK0BbyG1T-wOG0OIQPBDmmlKf9CNHpM&amp;utm_campaign=copy_link" TargetMode="External"/><Relationship Id="rId28" Type="http://schemas.openxmlformats.org/officeDocument/2006/relationships/hyperlink" Target="https://www.linkedin.com/posts/mohit-sukhija_ineubytes-ineubytesinternship-seo-activity-7485664974061858816-V4Ah?utm_source=social_share_send&amp;utm_medium=android_app&amp;rcm=ACoAAGaFDK0BbyG1T-wOG0OIQPBDmmlKf9CNHpM&amp;utm_campaign=copy_link" TargetMode="External"/><Relationship Id="rId29" Type="http://schemas.openxmlformats.org/officeDocument/2006/relationships/hyperlink" Target="https://www.linkedin.com/posts/mohit-sukhija_ineubytes-virtualinternship-internshipjourney-activity-7485748015408914432-2Mfq?utm_source=social_share_send&amp;utm_medium=android_app&amp;rcm=ACoAAGaFDK0BbyG1T-wOG0OIQPBDmmlKf9CNHpM&amp;utm_campaign=copy_link" TargetMode="External"/><Relationship Id="rId30" Type="http://schemas.openxmlformats.org/officeDocument/2006/relationships/hyperlink" Target="https://www.linkedin.com/posts/mohit-sukhija_internship-contentcreation-digitalmarketing-activity-7485883898367971328-fDOk?utm_source=social_share_send&amp;utm_medium=android_app&amp;rcm=ACoAAGaFDK0BbyG1T-wOG0OIQPBDmmlKf9CNHpM&amp;utm_campaign=copy_link" TargetMode="External"/><Relationship Id="rId31" Type="http://schemas.openxmlformats.org/officeDocument/2006/relationships/hyperlink" Target="https://www.linkedin.com/posts/mohit-sukhija_internship-ineubytes-digitalmarketing-activity-7485914097075748865-bz2g?utm_source=social_share_send&amp;utm_medium=android_app&amp;rcm=ACoAAGaFDK0BbyG1T-wOG0OIQPBDmmlKf9CNHpM&amp;utm_campaign=copy_link"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00390625" defaultRowHeight="12.5" customHeight="false"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27"/>
  <sheetViews>
    <sheetView showFormulas="false" showGridLines="false" showRowColHeaders="true" showZeros="true" rightToLeft="false" tabSelected="true" showOutlineSymbols="true" defaultGridColor="true" view="normal" topLeftCell="B1" colorId="64" zoomScale="52" zoomScaleNormal="52" zoomScalePageLayoutView="100" workbookViewId="0">
      <selection pane="topLeft" activeCell="F40" activeCellId="0" sqref="F40"/>
    </sheetView>
  </sheetViews>
  <sheetFormatPr defaultColWidth="10.00390625" defaultRowHeight="12.5" customHeight="false" zeroHeight="false" outlineLevelRow="0" outlineLevelCol="0"/>
  <cols>
    <col collapsed="false" customWidth="true" hidden="false" outlineLevel="0" max="1" min="1" style="1" width="4"/>
    <col collapsed="false" customWidth="true" hidden="false" outlineLevel="0" max="2" min="2" style="1" width="22"/>
    <col collapsed="false" customWidth="true" hidden="false" outlineLevel="0" max="5" min="3" style="1" width="14"/>
    <col collapsed="false" customWidth="true" hidden="false" outlineLevel="0" max="6" min="6" style="1" width="16"/>
    <col collapsed="false" customWidth="true" hidden="false" outlineLevel="0" max="7" min="7" style="1" width="14"/>
  </cols>
  <sheetData>
    <row r="2" customFormat="false" ht="27.75" hidden="false" customHeight="true" outlineLevel="0" collapsed="false">
      <c r="B2" s="2" t="s">
        <v>0</v>
      </c>
      <c r="C2" s="2"/>
      <c r="D2" s="2"/>
      <c r="E2" s="2"/>
      <c r="F2" s="2"/>
      <c r="G2" s="2"/>
    </row>
    <row r="4" customFormat="false" ht="30" hidden="false" customHeight="true" outlineLevel="0" collapsed="false">
      <c r="B4" s="3" t="s">
        <v>1</v>
      </c>
      <c r="C4" s="3" t="s">
        <v>2</v>
      </c>
      <c r="D4" s="3" t="s">
        <v>3</v>
      </c>
      <c r="E4" s="3" t="s">
        <v>4</v>
      </c>
      <c r="F4" s="3" t="s">
        <v>5</v>
      </c>
      <c r="G4" s="3" t="s">
        <v>6</v>
      </c>
    </row>
    <row r="5" customFormat="false" ht="15" hidden="false" customHeight="true" outlineLevel="0" collapsed="false">
      <c r="B5" s="4" t="s">
        <v>7</v>
      </c>
      <c r="C5" s="5" t="n">
        <f aca="false">'Website 1'!H14</f>
        <v>18</v>
      </c>
      <c r="D5" s="5" t="n">
        <f aca="false">'Website 1'!H16</f>
        <v>10</v>
      </c>
      <c r="E5" s="5" t="n">
        <f aca="false">'Website 1'!H17</f>
        <v>9</v>
      </c>
      <c r="F5" s="5" t="n">
        <f aca="false">'Website 1'!H18</f>
        <v>1</v>
      </c>
      <c r="G5" s="6" t="n">
        <f aca="false">'Website 1'!H19</f>
        <v>0.526315789473684</v>
      </c>
    </row>
    <row r="6" customFormat="false" ht="15" hidden="false" customHeight="true" outlineLevel="0" collapsed="false">
      <c r="B6" s="4" t="s">
        <v>8</v>
      </c>
      <c r="C6" s="5" t="n">
        <f aca="false">'Website 2'!H14</f>
        <v>18</v>
      </c>
      <c r="D6" s="5" t="n">
        <f aca="false">'Website 2'!H16</f>
        <v>10</v>
      </c>
      <c r="E6" s="5" t="n">
        <f aca="false">'Website 2'!H17</f>
        <v>9</v>
      </c>
      <c r="F6" s="5" t="n">
        <f aca="false">'Website 2'!H18</f>
        <v>0</v>
      </c>
      <c r="G6" s="6" t="n">
        <f aca="false">'Website 2'!H19</f>
        <v>0.526315789473684</v>
      </c>
    </row>
    <row r="7" customFormat="false" ht="15" hidden="false" customHeight="true" outlineLevel="0" collapsed="false">
      <c r="B7" s="4" t="s">
        <v>9</v>
      </c>
      <c r="C7" s="5" t="n">
        <f aca="false">'Website 3'!H14</f>
        <v>18</v>
      </c>
      <c r="D7" s="5" t="n">
        <f aca="false">'Website 3'!H16</f>
        <v>9</v>
      </c>
      <c r="E7" s="5" t="n">
        <f aca="false">'Website 3'!H17</f>
        <v>10</v>
      </c>
      <c r="F7" s="5" t="n">
        <f aca="false">'Website 3'!H18</f>
        <v>1</v>
      </c>
      <c r="G7" s="6" t="n">
        <f aca="false">'Website 3'!H19</f>
        <v>0.473684210526316</v>
      </c>
    </row>
    <row r="8" customFormat="false" ht="15" hidden="false" customHeight="true" outlineLevel="0" collapsed="false">
      <c r="B8" s="7" t="s">
        <v>10</v>
      </c>
      <c r="C8" s="8" t="n">
        <f aca="false">SUM(C5:C7)</f>
        <v>54</v>
      </c>
      <c r="D8" s="8" t="n">
        <f aca="false">SUM(D5:D7)</f>
        <v>29</v>
      </c>
      <c r="E8" s="8" t="n">
        <f aca="false">SUM(E5:E7)</f>
        <v>28</v>
      </c>
      <c r="F8" s="8" t="n">
        <f aca="false">SUM(F5:F7)</f>
        <v>2</v>
      </c>
      <c r="G8" s="9" t="n">
        <f aca="false">AVERAGE(G5:G7)</f>
        <v>0.508771929824561</v>
      </c>
    </row>
    <row r="27" customFormat="false" ht="15" hidden="false" customHeight="true" outlineLevel="0" collapsed="false">
      <c r="B27" s="10" t="s">
        <v>11</v>
      </c>
    </row>
  </sheetData>
  <mergeCells count="1">
    <mergeCell ref="B2:G2"/>
  </mergeCells>
  <conditionalFormatting sqref="G5:G7">
    <cfRule type="dataBar" priority="2">
      <dataBar showValue="1" minLength="10" maxLength="90">
        <cfvo type="num" val="0"/>
        <cfvo type="num" val="1"/>
        <color rgb="FF2A7E7E"/>
      </dataBar>
      <extLst>
        <ext xmlns:x14="http://schemas.microsoft.com/office/spreadsheetml/2009/9/main" uri="{B025F937-C7B1-47D3-B67F-A62EFF666E3E}">
          <x14:id>{AF259F84-AA5B-4325-8D90-B030B510215D}</x14:id>
        </ext>
      </extLst>
    </cfRule>
    <cfRule type="dataBar" priority="3">
      <dataBar showValue="1" minLength="10" maxLength="90">
        <cfvo type="num" val="0"/>
        <cfvo type="num" val="1"/>
        <color rgb="FF000000"/>
      </dataBar>
      <extLst>
        <ext xmlns:x14="http://schemas.microsoft.com/office/spreadsheetml/2009/9/main" uri="{B025F937-C7B1-47D3-B67F-A62EFF666E3E}">
          <x14:id>{E1678020-3D22-4BEB-88BA-B269607A59ED}</x14:id>
        </ext>
      </extLst>
    </cfRule>
  </conditionalFormatting>
  <conditionalFormatting sqref="G8">
    <cfRule type="cellIs" priority="4" operator="greaterThanOrEqual" aboveAverage="0" equalAverage="0" bottom="0" percent="0" rank="0" text="" dxfId="0">
      <formula>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AF259F84-AA5B-4325-8D90-B030B510215D}">
            <x14:dataBar minLength="10" maxLength="90" axisPosition="none" gradient="true">
              <x14:cfvo type="num">
                <xm:f>0</xm:f>
              </x14:cfvo>
              <x14:cfvo type="num">
                <xm:f>1</xm:f>
              </x14:cfvo>
              <x14:negativeFillColor rgb="FF2A7E7E"/>
              <x14:axisColor rgb="FF000000"/>
            </x14:dataBar>
          </x14:cfRule>
          <x14:cfRule type="dataBar" id="{E1678020-3D22-4BEB-88BA-B269607A59ED}">
            <x14:dataBar minLength="10" maxLength="90" axisPosition="none" gradient="true">
              <x14:cfvo type="num">
                <xm:f>0</xm:f>
              </x14:cfvo>
              <x14:cfvo type="num">
                <xm:f>1</xm:f>
              </x14:cfvo>
              <x14:negativeFillColor rgb="FF000000"/>
              <x14:axisColor rgb="FF000000"/>
            </x14:dataBar>
          </x14:cfRule>
          <xm:sqref>G5:G7</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V62"/>
  <sheetViews>
    <sheetView showFormulas="false" showGridLines="true" showRowColHeaders="true" showZeros="true" rightToLeft="false" tabSelected="false" showOutlineSymbols="true" defaultGridColor="true" view="normal" topLeftCell="A1" colorId="64" zoomScale="30" zoomScaleNormal="30" zoomScalePageLayoutView="100" workbookViewId="0">
      <selection pane="topLeft" activeCell="A1" activeCellId="0" sqref="A1"/>
    </sheetView>
  </sheetViews>
  <sheetFormatPr defaultColWidth="10.00390625" defaultRowHeight="12.5" customHeight="false" zeroHeight="false" outlineLevelRow="0" outlineLevelCol="0"/>
  <sheetData>
    <row r="1" customFormat="false" ht="12" hidden="false" customHeight="true" outlineLevel="0" collapsed="false">
      <c r="A1" s="11" t="s">
        <v>12</v>
      </c>
      <c r="B1" s="11"/>
      <c r="C1" s="11"/>
      <c r="D1" s="11"/>
      <c r="E1" s="11"/>
      <c r="F1" s="11"/>
      <c r="G1" s="11"/>
      <c r="H1" s="11"/>
      <c r="I1" s="11"/>
      <c r="J1" s="11"/>
      <c r="K1" s="11"/>
      <c r="L1" s="11"/>
      <c r="M1" s="11"/>
      <c r="N1" s="11"/>
      <c r="O1" s="11"/>
      <c r="P1" s="11"/>
      <c r="Q1" s="11"/>
      <c r="R1" s="11"/>
      <c r="S1" s="11"/>
      <c r="T1" s="11"/>
      <c r="U1" s="11"/>
      <c r="V1" s="11"/>
      <c r="W1" s="11"/>
      <c r="X1" s="11"/>
      <c r="Y1" s="11"/>
      <c r="Z1" s="12"/>
      <c r="AA1" s="12"/>
      <c r="AB1" s="12"/>
      <c r="AC1" s="12"/>
      <c r="AD1" s="12"/>
      <c r="AE1" s="12"/>
      <c r="AF1" s="12"/>
      <c r="AG1" s="12"/>
      <c r="AH1" s="12"/>
      <c r="AI1" s="12"/>
      <c r="AJ1" s="12"/>
      <c r="AK1" s="12"/>
      <c r="AL1" s="12"/>
      <c r="AM1" s="12"/>
      <c r="AN1" s="12"/>
      <c r="AO1" s="12"/>
      <c r="AP1" s="12"/>
      <c r="AQ1" s="12"/>
      <c r="AR1" s="12"/>
      <c r="AS1" s="12"/>
      <c r="AT1" s="12"/>
      <c r="AU1" s="12"/>
      <c r="AV1" s="12"/>
    </row>
    <row r="2" customFormat="false" ht="12" hidden="false" customHeight="true" outlineLevel="0" collapsed="false">
      <c r="A2" s="11"/>
      <c r="B2" s="11"/>
      <c r="C2" s="11"/>
      <c r="D2" s="11"/>
      <c r="E2" s="11"/>
      <c r="F2" s="11"/>
      <c r="G2" s="11"/>
      <c r="H2" s="11"/>
      <c r="I2" s="11"/>
      <c r="J2" s="11"/>
      <c r="K2" s="11"/>
      <c r="L2" s="11"/>
      <c r="M2" s="11"/>
      <c r="N2" s="11"/>
      <c r="O2" s="11"/>
      <c r="P2" s="11"/>
      <c r="Q2" s="11"/>
      <c r="R2" s="11"/>
      <c r="S2" s="11"/>
      <c r="T2" s="11"/>
      <c r="U2" s="11"/>
      <c r="V2" s="11"/>
      <c r="W2" s="11"/>
      <c r="X2" s="11"/>
      <c r="Y2" s="11"/>
      <c r="Z2" s="12"/>
      <c r="AA2" s="12"/>
      <c r="AB2" s="12"/>
      <c r="AC2" s="12"/>
      <c r="AD2" s="12"/>
      <c r="AE2" s="12"/>
      <c r="AF2" s="12"/>
      <c r="AG2" s="12"/>
      <c r="AH2" s="12"/>
      <c r="AI2" s="12"/>
      <c r="AJ2" s="12"/>
      <c r="AK2" s="12"/>
      <c r="AL2" s="12"/>
      <c r="AM2" s="12"/>
      <c r="AN2" s="12"/>
      <c r="AO2" s="12"/>
      <c r="AP2" s="12"/>
      <c r="AQ2" s="12"/>
      <c r="AR2" s="12"/>
      <c r="AS2" s="12"/>
      <c r="AT2" s="12"/>
      <c r="AU2" s="12"/>
      <c r="AV2" s="12"/>
    </row>
    <row r="3" customFormat="false" ht="12" hidden="false" customHeight="true" outlineLevel="0" collapsed="false">
      <c r="A3" s="11"/>
      <c r="B3" s="11"/>
      <c r="C3" s="11"/>
      <c r="D3" s="11"/>
      <c r="E3" s="11"/>
      <c r="F3" s="11"/>
      <c r="G3" s="11"/>
      <c r="H3" s="11"/>
      <c r="I3" s="11"/>
      <c r="J3" s="11"/>
      <c r="K3" s="11"/>
      <c r="L3" s="11"/>
      <c r="M3" s="11"/>
      <c r="N3" s="11"/>
      <c r="O3" s="11"/>
      <c r="P3" s="11"/>
      <c r="Q3" s="11"/>
      <c r="R3" s="11"/>
      <c r="S3" s="11"/>
      <c r="T3" s="11"/>
      <c r="U3" s="11"/>
      <c r="V3" s="11"/>
      <c r="W3" s="11"/>
      <c r="X3" s="11"/>
      <c r="Y3" s="11"/>
      <c r="Z3" s="12"/>
      <c r="AA3" s="12"/>
      <c r="AB3" s="12"/>
      <c r="AC3" s="12"/>
      <c r="AD3" s="12"/>
      <c r="AE3" s="12"/>
      <c r="AF3" s="12"/>
      <c r="AG3" s="12"/>
      <c r="AH3" s="12"/>
      <c r="AI3" s="12"/>
      <c r="AJ3" s="12"/>
      <c r="AK3" s="12"/>
      <c r="AL3" s="12"/>
      <c r="AM3" s="12"/>
      <c r="AN3" s="12"/>
      <c r="AO3" s="12"/>
      <c r="AP3" s="12"/>
      <c r="AQ3" s="12"/>
      <c r="AR3" s="12"/>
      <c r="AS3" s="12"/>
      <c r="AT3" s="12"/>
      <c r="AU3" s="12"/>
      <c r="AV3" s="12"/>
    </row>
    <row r="4" customFormat="false" ht="12" hidden="false" customHeight="true" outlineLevel="0" collapsed="false">
      <c r="A4" s="11"/>
      <c r="B4" s="11"/>
      <c r="C4" s="11"/>
      <c r="D4" s="11"/>
      <c r="E4" s="11"/>
      <c r="F4" s="11"/>
      <c r="G4" s="11"/>
      <c r="H4" s="11"/>
      <c r="I4" s="11"/>
      <c r="J4" s="11"/>
      <c r="K4" s="11"/>
      <c r="L4" s="11"/>
      <c r="M4" s="11"/>
      <c r="N4" s="11"/>
      <c r="O4" s="11"/>
      <c r="P4" s="11"/>
      <c r="Q4" s="11"/>
      <c r="R4" s="11"/>
      <c r="S4" s="11"/>
      <c r="T4" s="11"/>
      <c r="U4" s="11"/>
      <c r="V4" s="11"/>
      <c r="W4" s="11"/>
      <c r="X4" s="11"/>
      <c r="Y4" s="11"/>
      <c r="Z4" s="12"/>
      <c r="AA4" s="12"/>
      <c r="AB4" s="12"/>
      <c r="AC4" s="12"/>
      <c r="AD4" s="12"/>
      <c r="AE4" s="12"/>
      <c r="AF4" s="12"/>
      <c r="AG4" s="12"/>
      <c r="AH4" s="12"/>
      <c r="AI4" s="12"/>
      <c r="AJ4" s="12"/>
      <c r="AK4" s="12"/>
      <c r="AL4" s="12"/>
      <c r="AM4" s="12"/>
      <c r="AN4" s="12"/>
      <c r="AO4" s="12"/>
      <c r="AP4" s="12"/>
      <c r="AQ4" s="12"/>
      <c r="AR4" s="12"/>
      <c r="AS4" s="12"/>
      <c r="AT4" s="12"/>
      <c r="AU4" s="12"/>
      <c r="AV4" s="12"/>
    </row>
    <row r="5" customFormat="false" ht="12" hidden="false" customHeight="true" outlineLevel="0" collapsed="false">
      <c r="A5" s="11"/>
      <c r="B5" s="11"/>
      <c r="C5" s="11"/>
      <c r="D5" s="11"/>
      <c r="E5" s="11"/>
      <c r="F5" s="11"/>
      <c r="G5" s="11"/>
      <c r="H5" s="11"/>
      <c r="I5" s="11"/>
      <c r="J5" s="11"/>
      <c r="K5" s="11"/>
      <c r="L5" s="11"/>
      <c r="M5" s="11"/>
      <c r="N5" s="11"/>
      <c r="O5" s="11"/>
      <c r="P5" s="11"/>
      <c r="Q5" s="11"/>
      <c r="R5" s="11"/>
      <c r="S5" s="11"/>
      <c r="T5" s="11"/>
      <c r="U5" s="11"/>
      <c r="V5" s="11"/>
      <c r="W5" s="11"/>
      <c r="X5" s="11"/>
      <c r="Y5" s="11"/>
      <c r="Z5" s="12"/>
      <c r="AA5" s="12"/>
      <c r="AB5" s="12"/>
      <c r="AC5" s="12"/>
      <c r="AD5" s="12"/>
      <c r="AE5" s="12"/>
      <c r="AF5" s="12"/>
      <c r="AG5" s="12"/>
      <c r="AH5" s="12"/>
      <c r="AI5" s="12"/>
      <c r="AJ5" s="12"/>
      <c r="AK5" s="12"/>
      <c r="AL5" s="12"/>
      <c r="AM5" s="12"/>
      <c r="AN5" s="12"/>
      <c r="AO5" s="12"/>
      <c r="AP5" s="12"/>
      <c r="AQ5" s="12"/>
      <c r="AR5" s="12"/>
      <c r="AS5" s="12"/>
      <c r="AT5" s="12"/>
      <c r="AU5" s="12"/>
      <c r="AV5" s="12"/>
    </row>
    <row r="6" customFormat="false" ht="12" hidden="false" customHeight="true" outlineLevel="0" collapsed="false">
      <c r="A6" s="11"/>
      <c r="B6" s="11"/>
      <c r="C6" s="11"/>
      <c r="D6" s="11"/>
      <c r="E6" s="11"/>
      <c r="F6" s="11"/>
      <c r="G6" s="11"/>
      <c r="H6" s="11"/>
      <c r="I6" s="11"/>
      <c r="J6" s="11"/>
      <c r="K6" s="11"/>
      <c r="L6" s="11"/>
      <c r="M6" s="11"/>
      <c r="N6" s="11"/>
      <c r="O6" s="11"/>
      <c r="P6" s="11"/>
      <c r="Q6" s="11"/>
      <c r="R6" s="11"/>
      <c r="S6" s="11"/>
      <c r="T6" s="11"/>
      <c r="U6" s="11"/>
      <c r="V6" s="11"/>
      <c r="W6" s="11"/>
      <c r="X6" s="11"/>
      <c r="Y6" s="11"/>
      <c r="Z6" s="12"/>
      <c r="AA6" s="12"/>
      <c r="AB6" s="12"/>
      <c r="AC6" s="12"/>
      <c r="AD6" s="12"/>
      <c r="AE6" s="12"/>
      <c r="AF6" s="12"/>
      <c r="AG6" s="12"/>
      <c r="AH6" s="12"/>
      <c r="AI6" s="12"/>
      <c r="AJ6" s="12"/>
      <c r="AK6" s="12"/>
      <c r="AL6" s="12"/>
      <c r="AM6" s="12"/>
      <c r="AN6" s="12"/>
      <c r="AO6" s="12"/>
      <c r="AP6" s="12"/>
      <c r="AQ6" s="12"/>
      <c r="AR6" s="12"/>
      <c r="AS6" s="12"/>
      <c r="AT6" s="12"/>
      <c r="AU6" s="12"/>
      <c r="AV6" s="12"/>
    </row>
    <row r="7" customFormat="false" ht="12" hidden="false" customHeight="true" outlineLevel="0" collapsed="false">
      <c r="A7" s="11"/>
      <c r="B7" s="11"/>
      <c r="C7" s="11"/>
      <c r="D7" s="11"/>
      <c r="E7" s="11"/>
      <c r="F7" s="11"/>
      <c r="G7" s="11"/>
      <c r="H7" s="11"/>
      <c r="I7" s="11"/>
      <c r="J7" s="11"/>
      <c r="K7" s="11"/>
      <c r="L7" s="11"/>
      <c r="M7" s="11"/>
      <c r="N7" s="11"/>
      <c r="O7" s="11"/>
      <c r="P7" s="11"/>
      <c r="Q7" s="11"/>
      <c r="R7" s="11"/>
      <c r="S7" s="11"/>
      <c r="T7" s="11"/>
      <c r="U7" s="11"/>
      <c r="V7" s="11"/>
      <c r="W7" s="11"/>
      <c r="X7" s="11"/>
      <c r="Y7" s="11"/>
      <c r="Z7" s="12"/>
      <c r="AA7" s="12"/>
      <c r="AB7" s="12"/>
      <c r="AC7" s="12"/>
      <c r="AD7" s="12"/>
      <c r="AE7" s="12"/>
      <c r="AF7" s="12"/>
      <c r="AG7" s="12"/>
      <c r="AH7" s="12"/>
      <c r="AI7" s="12"/>
      <c r="AJ7" s="12"/>
      <c r="AK7" s="12"/>
      <c r="AL7" s="12"/>
      <c r="AM7" s="12"/>
      <c r="AN7" s="12"/>
      <c r="AO7" s="12"/>
      <c r="AP7" s="12"/>
      <c r="AQ7" s="12"/>
      <c r="AR7" s="12"/>
      <c r="AS7" s="12"/>
      <c r="AT7" s="12"/>
      <c r="AU7" s="12"/>
      <c r="AV7" s="12"/>
    </row>
    <row r="8" customFormat="false" ht="12" hidden="false" customHeight="true" outlineLevel="0" collapsed="false">
      <c r="A8" s="11"/>
      <c r="B8" s="11"/>
      <c r="C8" s="11"/>
      <c r="D8" s="11"/>
      <c r="E8" s="11"/>
      <c r="F8" s="11"/>
      <c r="G8" s="11"/>
      <c r="H8" s="11"/>
      <c r="I8" s="11"/>
      <c r="J8" s="11"/>
      <c r="K8" s="11"/>
      <c r="L8" s="11"/>
      <c r="M8" s="11"/>
      <c r="N8" s="11"/>
      <c r="O8" s="11"/>
      <c r="P8" s="11"/>
      <c r="Q8" s="11"/>
      <c r="R8" s="11"/>
      <c r="S8" s="11"/>
      <c r="T8" s="11"/>
      <c r="U8" s="11"/>
      <c r="V8" s="11"/>
      <c r="W8" s="11"/>
      <c r="X8" s="11"/>
      <c r="Y8" s="11"/>
      <c r="Z8" s="12"/>
      <c r="AA8" s="12"/>
      <c r="AB8" s="12"/>
      <c r="AC8" s="12"/>
      <c r="AD8" s="12"/>
      <c r="AE8" s="12"/>
      <c r="AF8" s="12"/>
      <c r="AG8" s="12"/>
      <c r="AH8" s="12"/>
      <c r="AI8" s="12"/>
      <c r="AJ8" s="12"/>
      <c r="AK8" s="12"/>
      <c r="AL8" s="12"/>
      <c r="AM8" s="12"/>
      <c r="AN8" s="12"/>
      <c r="AO8" s="12"/>
      <c r="AP8" s="12"/>
      <c r="AQ8" s="12"/>
      <c r="AR8" s="12"/>
      <c r="AS8" s="12"/>
      <c r="AT8" s="12"/>
      <c r="AU8" s="12"/>
      <c r="AV8" s="12"/>
    </row>
    <row r="9" customFormat="false" ht="12" hidden="false" customHeight="true" outlineLevel="0" collapsed="false">
      <c r="A9" s="11"/>
      <c r="B9" s="11"/>
      <c r="C9" s="11"/>
      <c r="D9" s="11"/>
      <c r="E9" s="11"/>
      <c r="F9" s="11"/>
      <c r="G9" s="11"/>
      <c r="H9" s="11"/>
      <c r="I9" s="11"/>
      <c r="J9" s="11"/>
      <c r="K9" s="11"/>
      <c r="L9" s="11"/>
      <c r="M9" s="11"/>
      <c r="N9" s="11"/>
      <c r="O9" s="11"/>
      <c r="P9" s="11"/>
      <c r="Q9" s="11"/>
      <c r="R9" s="11"/>
      <c r="S9" s="11"/>
      <c r="T9" s="11"/>
      <c r="U9" s="11"/>
      <c r="V9" s="11"/>
      <c r="W9" s="11"/>
      <c r="X9" s="11"/>
      <c r="Y9" s="11"/>
      <c r="Z9" s="12"/>
      <c r="AA9" s="12"/>
      <c r="AB9" s="12"/>
      <c r="AC9" s="12"/>
      <c r="AD9" s="12"/>
      <c r="AE9" s="12"/>
      <c r="AF9" s="12"/>
      <c r="AG9" s="12"/>
      <c r="AH9" s="12"/>
      <c r="AI9" s="12"/>
      <c r="AJ9" s="12"/>
      <c r="AK9" s="12"/>
      <c r="AL9" s="12"/>
      <c r="AM9" s="12"/>
      <c r="AN9" s="12"/>
      <c r="AO9" s="12"/>
      <c r="AP9" s="12"/>
      <c r="AQ9" s="12"/>
      <c r="AR9" s="12"/>
      <c r="AS9" s="12"/>
      <c r="AT9" s="12"/>
      <c r="AU9" s="12"/>
      <c r="AV9" s="12"/>
    </row>
    <row r="10" customFormat="false" ht="12" hidden="false" customHeight="true" outlineLevel="0" collapsed="false">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2"/>
      <c r="AA10" s="12"/>
      <c r="AB10" s="12"/>
      <c r="AC10" s="12"/>
      <c r="AD10" s="12"/>
      <c r="AE10" s="12"/>
      <c r="AF10" s="12"/>
      <c r="AG10" s="12"/>
      <c r="AH10" s="12"/>
      <c r="AI10" s="12"/>
      <c r="AJ10" s="12"/>
      <c r="AK10" s="12"/>
      <c r="AL10" s="12"/>
      <c r="AM10" s="12"/>
      <c r="AN10" s="12"/>
      <c r="AO10" s="12"/>
      <c r="AP10" s="12"/>
      <c r="AQ10" s="12"/>
      <c r="AR10" s="12"/>
      <c r="AS10" s="12"/>
      <c r="AT10" s="12"/>
      <c r="AU10" s="12"/>
      <c r="AV10" s="12"/>
    </row>
    <row r="11" customFormat="false" ht="12" hidden="false" customHeight="true" outlineLevel="0" collapsed="false">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2"/>
      <c r="AA11" s="12"/>
      <c r="AB11" s="12"/>
      <c r="AC11" s="12"/>
      <c r="AD11" s="12"/>
      <c r="AE11" s="12"/>
      <c r="AF11" s="12"/>
      <c r="AG11" s="12"/>
      <c r="AH11" s="12"/>
      <c r="AI11" s="12"/>
      <c r="AJ11" s="12"/>
      <c r="AK11" s="12"/>
      <c r="AL11" s="12"/>
      <c r="AM11" s="12"/>
      <c r="AN11" s="12"/>
      <c r="AO11" s="12"/>
      <c r="AP11" s="12"/>
      <c r="AQ11" s="12"/>
      <c r="AR11" s="12"/>
      <c r="AS11" s="12"/>
      <c r="AT11" s="12"/>
      <c r="AU11" s="12"/>
      <c r="AV11" s="12"/>
    </row>
    <row r="12" customFormat="false" ht="12" hidden="false" customHeight="true" outlineLevel="0" collapsed="false">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2"/>
      <c r="AA12" s="12"/>
      <c r="AB12" s="12"/>
      <c r="AC12" s="12"/>
      <c r="AD12" s="12"/>
      <c r="AE12" s="12"/>
      <c r="AF12" s="12"/>
      <c r="AG12" s="12"/>
      <c r="AH12" s="12"/>
      <c r="AI12" s="12"/>
      <c r="AJ12" s="12"/>
      <c r="AK12" s="12"/>
      <c r="AL12" s="12"/>
      <c r="AM12" s="12"/>
      <c r="AN12" s="12"/>
      <c r="AO12" s="12"/>
      <c r="AP12" s="12"/>
      <c r="AQ12" s="12"/>
      <c r="AR12" s="12"/>
      <c r="AS12" s="12"/>
      <c r="AT12" s="12"/>
      <c r="AU12" s="12"/>
      <c r="AV12" s="12"/>
    </row>
    <row r="13" customFormat="false" ht="12" hidden="false" customHeight="true" outlineLevel="0" collapsed="false">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2"/>
      <c r="AA13" s="12"/>
      <c r="AB13" s="12"/>
      <c r="AC13" s="12"/>
      <c r="AD13" s="12"/>
      <c r="AE13" s="12"/>
      <c r="AF13" s="12"/>
      <c r="AG13" s="12"/>
      <c r="AH13" s="12"/>
      <c r="AI13" s="12"/>
      <c r="AJ13" s="12"/>
      <c r="AK13" s="12"/>
      <c r="AL13" s="12"/>
      <c r="AM13" s="12"/>
      <c r="AN13" s="12"/>
      <c r="AO13" s="12"/>
      <c r="AP13" s="12"/>
      <c r="AQ13" s="12"/>
      <c r="AR13" s="12"/>
      <c r="AS13" s="12"/>
      <c r="AT13" s="12"/>
      <c r="AU13" s="12"/>
      <c r="AV13" s="12"/>
    </row>
    <row r="14" customFormat="false" ht="12" hidden="false" customHeight="true" outlineLevel="0" collapsed="false">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2"/>
      <c r="AA14" s="12"/>
      <c r="AB14" s="12"/>
      <c r="AC14" s="12"/>
      <c r="AD14" s="12"/>
      <c r="AE14" s="12"/>
      <c r="AF14" s="12"/>
      <c r="AG14" s="12"/>
      <c r="AH14" s="12"/>
      <c r="AI14" s="12"/>
      <c r="AJ14" s="12"/>
      <c r="AK14" s="12"/>
      <c r="AL14" s="12"/>
      <c r="AM14" s="12"/>
      <c r="AN14" s="12"/>
      <c r="AO14" s="12"/>
      <c r="AP14" s="12"/>
      <c r="AQ14" s="12"/>
      <c r="AR14" s="12"/>
      <c r="AS14" s="12"/>
      <c r="AT14" s="12"/>
      <c r="AU14" s="12"/>
      <c r="AV14" s="12"/>
    </row>
    <row r="15" customFormat="false" ht="12" hidden="false" customHeight="true" outlineLevel="0" collapsed="false">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2"/>
      <c r="AA15" s="12"/>
      <c r="AB15" s="12"/>
      <c r="AC15" s="12"/>
      <c r="AD15" s="12"/>
      <c r="AE15" s="12"/>
      <c r="AF15" s="12"/>
      <c r="AG15" s="12"/>
      <c r="AH15" s="12"/>
      <c r="AI15" s="12"/>
      <c r="AJ15" s="12"/>
      <c r="AK15" s="12"/>
      <c r="AL15" s="12"/>
      <c r="AM15" s="12"/>
      <c r="AN15" s="12"/>
      <c r="AO15" s="12"/>
      <c r="AP15" s="12"/>
      <c r="AQ15" s="12"/>
      <c r="AR15" s="12"/>
      <c r="AS15" s="12"/>
      <c r="AT15" s="12"/>
      <c r="AU15" s="12"/>
      <c r="AV15" s="12"/>
    </row>
    <row r="16" customFormat="false" ht="12" hidden="false" customHeight="true" outlineLevel="0" collapsed="false">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2"/>
      <c r="AA16" s="12"/>
      <c r="AB16" s="12"/>
      <c r="AC16" s="12"/>
      <c r="AD16" s="12"/>
      <c r="AE16" s="12"/>
      <c r="AF16" s="12"/>
      <c r="AG16" s="12"/>
      <c r="AH16" s="12"/>
      <c r="AI16" s="12"/>
      <c r="AJ16" s="12"/>
      <c r="AK16" s="12"/>
      <c r="AL16" s="12"/>
      <c r="AM16" s="12"/>
      <c r="AN16" s="12"/>
      <c r="AO16" s="12"/>
      <c r="AP16" s="12"/>
      <c r="AQ16" s="12"/>
      <c r="AR16" s="12"/>
      <c r="AS16" s="12"/>
      <c r="AT16" s="12"/>
      <c r="AU16" s="12"/>
      <c r="AV16" s="12"/>
    </row>
    <row r="17" customFormat="false" ht="12" hidden="false" customHeight="true" outlineLevel="0" collapsed="false">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2"/>
      <c r="AA17" s="12"/>
      <c r="AB17" s="12"/>
      <c r="AC17" s="12"/>
      <c r="AD17" s="12"/>
      <c r="AE17" s="12"/>
      <c r="AF17" s="12"/>
      <c r="AG17" s="12"/>
      <c r="AH17" s="12"/>
      <c r="AI17" s="12"/>
      <c r="AJ17" s="12"/>
      <c r="AK17" s="12"/>
      <c r="AL17" s="12"/>
      <c r="AM17" s="12"/>
      <c r="AN17" s="12"/>
      <c r="AO17" s="12"/>
      <c r="AP17" s="12"/>
      <c r="AQ17" s="12"/>
      <c r="AR17" s="12"/>
      <c r="AS17" s="12"/>
      <c r="AT17" s="12"/>
      <c r="AU17" s="12"/>
      <c r="AV17" s="12"/>
    </row>
    <row r="18" customFormat="false" ht="12" hidden="false" customHeight="true" outlineLevel="0" collapsed="false">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2"/>
      <c r="AA18" s="12"/>
      <c r="AB18" s="12"/>
      <c r="AC18" s="12"/>
      <c r="AD18" s="12"/>
      <c r="AE18" s="12"/>
      <c r="AF18" s="12"/>
      <c r="AG18" s="12"/>
      <c r="AH18" s="12"/>
      <c r="AI18" s="12"/>
      <c r="AJ18" s="12"/>
      <c r="AK18" s="12"/>
      <c r="AL18" s="12"/>
      <c r="AM18" s="12"/>
      <c r="AN18" s="12"/>
      <c r="AO18" s="12"/>
      <c r="AP18" s="12"/>
      <c r="AQ18" s="12"/>
      <c r="AR18" s="12"/>
      <c r="AS18" s="12"/>
      <c r="AT18" s="12"/>
      <c r="AU18" s="12"/>
      <c r="AV18" s="12"/>
    </row>
    <row r="19" customFormat="false" ht="12" hidden="false" customHeight="true" outlineLevel="0" collapsed="false">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2"/>
      <c r="AA19" s="12"/>
      <c r="AB19" s="12"/>
      <c r="AC19" s="12"/>
      <c r="AD19" s="12"/>
      <c r="AE19" s="12"/>
      <c r="AF19" s="12"/>
      <c r="AG19" s="12"/>
      <c r="AH19" s="12"/>
      <c r="AI19" s="12"/>
      <c r="AJ19" s="12"/>
      <c r="AK19" s="12"/>
      <c r="AL19" s="12"/>
      <c r="AM19" s="12"/>
      <c r="AN19" s="12"/>
      <c r="AO19" s="12"/>
      <c r="AP19" s="12"/>
      <c r="AQ19" s="12"/>
      <c r="AR19" s="12"/>
      <c r="AS19" s="12"/>
      <c r="AT19" s="12"/>
      <c r="AU19" s="12"/>
      <c r="AV19" s="12"/>
    </row>
    <row r="20" customFormat="false" ht="12" hidden="false" customHeight="true" outlineLevel="0" collapsed="false">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2"/>
      <c r="AA20" s="12"/>
      <c r="AB20" s="12"/>
      <c r="AC20" s="12"/>
      <c r="AD20" s="12"/>
      <c r="AE20" s="12"/>
      <c r="AF20" s="12"/>
      <c r="AG20" s="12"/>
      <c r="AH20" s="12"/>
      <c r="AI20" s="12"/>
      <c r="AJ20" s="12"/>
      <c r="AK20" s="12"/>
      <c r="AL20" s="12"/>
      <c r="AM20" s="12"/>
      <c r="AN20" s="12"/>
      <c r="AO20" s="12"/>
      <c r="AP20" s="12"/>
      <c r="AQ20" s="12"/>
      <c r="AR20" s="12"/>
      <c r="AS20" s="12"/>
      <c r="AT20" s="12"/>
      <c r="AU20" s="12"/>
      <c r="AV20" s="12"/>
    </row>
    <row r="21" customFormat="false" ht="12" hidden="false" customHeight="true" outlineLevel="0" collapsed="false">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2"/>
      <c r="AA21" s="12"/>
      <c r="AB21" s="12"/>
      <c r="AC21" s="12"/>
      <c r="AD21" s="12"/>
      <c r="AE21" s="12"/>
      <c r="AF21" s="12"/>
      <c r="AG21" s="12"/>
      <c r="AH21" s="12"/>
      <c r="AI21" s="12"/>
      <c r="AJ21" s="12"/>
      <c r="AK21" s="12"/>
      <c r="AL21" s="12"/>
      <c r="AM21" s="12"/>
      <c r="AN21" s="12"/>
      <c r="AO21" s="12"/>
      <c r="AP21" s="12"/>
      <c r="AQ21" s="12"/>
      <c r="AR21" s="12"/>
      <c r="AS21" s="12"/>
      <c r="AT21" s="12"/>
      <c r="AU21" s="12"/>
      <c r="AV21" s="12"/>
    </row>
    <row r="22" customFormat="false" ht="12" hidden="false" customHeight="true" outlineLevel="0" collapsed="false">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2"/>
      <c r="AA22" s="12"/>
      <c r="AB22" s="12"/>
      <c r="AC22" s="12"/>
      <c r="AD22" s="12"/>
      <c r="AE22" s="12"/>
      <c r="AF22" s="12"/>
      <c r="AG22" s="12"/>
      <c r="AH22" s="12"/>
      <c r="AI22" s="12"/>
      <c r="AJ22" s="12"/>
      <c r="AK22" s="12"/>
      <c r="AL22" s="12"/>
      <c r="AM22" s="12"/>
      <c r="AN22" s="12"/>
      <c r="AO22" s="12"/>
      <c r="AP22" s="12"/>
      <c r="AQ22" s="12"/>
      <c r="AR22" s="12"/>
      <c r="AS22" s="12"/>
      <c r="AT22" s="12"/>
      <c r="AU22" s="12"/>
      <c r="AV22" s="12"/>
    </row>
    <row r="23" customFormat="false" ht="12" hidden="false" customHeight="true" outlineLevel="0" collapsed="false">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2"/>
      <c r="AA23" s="12"/>
      <c r="AB23" s="12"/>
      <c r="AC23" s="12"/>
      <c r="AD23" s="12"/>
      <c r="AE23" s="12"/>
      <c r="AF23" s="12"/>
      <c r="AG23" s="12"/>
      <c r="AH23" s="12"/>
      <c r="AI23" s="12"/>
      <c r="AJ23" s="12"/>
      <c r="AK23" s="12"/>
      <c r="AL23" s="12"/>
      <c r="AM23" s="12"/>
      <c r="AN23" s="12"/>
      <c r="AO23" s="12"/>
      <c r="AP23" s="12"/>
      <c r="AQ23" s="12"/>
      <c r="AR23" s="12"/>
      <c r="AS23" s="12"/>
      <c r="AT23" s="12"/>
      <c r="AU23" s="12"/>
      <c r="AV23" s="12"/>
    </row>
    <row r="24" customFormat="false" ht="12" hidden="false" customHeight="true" outlineLevel="0" collapsed="false">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2"/>
      <c r="AA24" s="12"/>
      <c r="AB24" s="12"/>
      <c r="AC24" s="12"/>
      <c r="AD24" s="12"/>
      <c r="AE24" s="12"/>
      <c r="AF24" s="12"/>
      <c r="AG24" s="12"/>
      <c r="AH24" s="12"/>
      <c r="AI24" s="12"/>
      <c r="AJ24" s="12"/>
      <c r="AK24" s="12"/>
      <c r="AL24" s="12"/>
      <c r="AM24" s="12"/>
      <c r="AN24" s="12"/>
      <c r="AO24" s="12"/>
      <c r="AP24" s="12"/>
      <c r="AQ24" s="12"/>
      <c r="AR24" s="12"/>
      <c r="AS24" s="12"/>
      <c r="AT24" s="12"/>
      <c r="AU24" s="12"/>
      <c r="AV24" s="12"/>
    </row>
    <row r="25" customFormat="false" ht="12" hidden="false" customHeight="true" outlineLevel="0" collapsed="false">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2"/>
      <c r="AA25" s="12"/>
      <c r="AB25" s="12"/>
      <c r="AC25" s="12"/>
      <c r="AD25" s="12"/>
      <c r="AE25" s="12"/>
      <c r="AF25" s="12"/>
      <c r="AG25" s="12"/>
      <c r="AH25" s="12"/>
      <c r="AI25" s="12"/>
      <c r="AJ25" s="12"/>
      <c r="AK25" s="12"/>
      <c r="AL25" s="12"/>
      <c r="AM25" s="12"/>
      <c r="AN25" s="12"/>
      <c r="AO25" s="12"/>
      <c r="AP25" s="12"/>
      <c r="AQ25" s="12"/>
      <c r="AR25" s="12"/>
      <c r="AS25" s="12"/>
      <c r="AT25" s="12"/>
      <c r="AU25" s="12"/>
      <c r="AV25" s="12"/>
    </row>
    <row r="26" customFormat="false" ht="12" hidden="false" customHeight="true" outlineLevel="0" collapsed="false">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2"/>
      <c r="AA26" s="12"/>
      <c r="AB26" s="12"/>
      <c r="AC26" s="12"/>
      <c r="AD26" s="12"/>
      <c r="AE26" s="12"/>
      <c r="AF26" s="12"/>
      <c r="AG26" s="12"/>
      <c r="AH26" s="12"/>
      <c r="AI26" s="12"/>
      <c r="AJ26" s="12"/>
      <c r="AK26" s="12"/>
      <c r="AL26" s="12"/>
      <c r="AM26" s="12"/>
      <c r="AN26" s="12"/>
      <c r="AO26" s="12"/>
      <c r="AP26" s="12"/>
      <c r="AQ26" s="12"/>
      <c r="AR26" s="12"/>
      <c r="AS26" s="12"/>
      <c r="AT26" s="12"/>
      <c r="AU26" s="12"/>
      <c r="AV26" s="12"/>
    </row>
    <row r="27" customFormat="false" ht="12" hidden="false" customHeight="true" outlineLevel="0" collapsed="false">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2"/>
      <c r="AA27" s="12"/>
      <c r="AB27" s="12"/>
      <c r="AC27" s="12"/>
      <c r="AD27" s="12"/>
      <c r="AE27" s="12"/>
      <c r="AF27" s="12"/>
      <c r="AG27" s="12"/>
      <c r="AH27" s="12"/>
      <c r="AI27" s="12"/>
      <c r="AJ27" s="12"/>
      <c r="AK27" s="12"/>
      <c r="AL27" s="12"/>
      <c r="AM27" s="12"/>
      <c r="AN27" s="12"/>
      <c r="AO27" s="12"/>
      <c r="AP27" s="12"/>
      <c r="AQ27" s="12"/>
      <c r="AR27" s="12"/>
      <c r="AS27" s="12"/>
      <c r="AT27" s="12"/>
      <c r="AU27" s="12"/>
      <c r="AV27" s="12"/>
    </row>
    <row r="28" customFormat="false" ht="12" hidden="false" customHeight="true" outlineLevel="0" collapsed="false">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2"/>
      <c r="AA28" s="12"/>
      <c r="AB28" s="12"/>
      <c r="AC28" s="12"/>
      <c r="AD28" s="12"/>
      <c r="AE28" s="12"/>
      <c r="AF28" s="12"/>
      <c r="AG28" s="12"/>
      <c r="AH28" s="12"/>
      <c r="AI28" s="12"/>
      <c r="AJ28" s="12"/>
      <c r="AK28" s="12"/>
      <c r="AL28" s="12"/>
      <c r="AM28" s="12"/>
      <c r="AN28" s="12"/>
      <c r="AO28" s="12"/>
      <c r="AP28" s="12"/>
      <c r="AQ28" s="12"/>
      <c r="AR28" s="12"/>
      <c r="AS28" s="12"/>
      <c r="AT28" s="12"/>
      <c r="AU28" s="12"/>
      <c r="AV28" s="12"/>
    </row>
    <row r="29" customFormat="false" ht="12" hidden="false" customHeight="true" outlineLevel="0" collapsed="false">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2"/>
      <c r="AA29" s="12"/>
      <c r="AB29" s="12"/>
      <c r="AC29" s="12"/>
      <c r="AD29" s="12"/>
      <c r="AE29" s="12"/>
      <c r="AF29" s="12"/>
      <c r="AG29" s="12"/>
      <c r="AH29" s="12"/>
      <c r="AI29" s="12"/>
      <c r="AJ29" s="12"/>
      <c r="AK29" s="12"/>
      <c r="AL29" s="12"/>
      <c r="AM29" s="12"/>
      <c r="AN29" s="12"/>
      <c r="AO29" s="12"/>
      <c r="AP29" s="12"/>
      <c r="AQ29" s="12"/>
      <c r="AR29" s="12"/>
      <c r="AS29" s="12"/>
      <c r="AT29" s="12"/>
      <c r="AU29" s="12"/>
      <c r="AV29" s="12"/>
    </row>
    <row r="30" customFormat="false" ht="12" hidden="false" customHeight="true" outlineLevel="0" collapsed="false">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2"/>
      <c r="AA30" s="12"/>
      <c r="AB30" s="12"/>
      <c r="AC30" s="12"/>
      <c r="AD30" s="12"/>
      <c r="AE30" s="12"/>
      <c r="AF30" s="12"/>
      <c r="AG30" s="12"/>
      <c r="AH30" s="12"/>
      <c r="AI30" s="12"/>
      <c r="AJ30" s="12"/>
      <c r="AK30" s="12"/>
      <c r="AL30" s="12"/>
      <c r="AM30" s="12"/>
      <c r="AN30" s="12"/>
      <c r="AO30" s="12"/>
      <c r="AP30" s="12"/>
      <c r="AQ30" s="12"/>
      <c r="AR30" s="12"/>
      <c r="AS30" s="12"/>
      <c r="AT30" s="12"/>
      <c r="AU30" s="12"/>
      <c r="AV30" s="12"/>
    </row>
    <row r="31" customFormat="false" ht="12" hidden="false" customHeight="true" outlineLevel="0" collapsed="false">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2"/>
      <c r="AA31" s="12"/>
      <c r="AB31" s="12"/>
      <c r="AC31" s="12"/>
      <c r="AD31" s="12"/>
      <c r="AE31" s="12"/>
      <c r="AF31" s="12"/>
      <c r="AG31" s="12"/>
      <c r="AH31" s="12"/>
      <c r="AI31" s="12"/>
      <c r="AJ31" s="12"/>
      <c r="AK31" s="12"/>
      <c r="AL31" s="12"/>
      <c r="AM31" s="12"/>
      <c r="AN31" s="12"/>
      <c r="AO31" s="12"/>
      <c r="AP31" s="12"/>
      <c r="AQ31" s="12"/>
      <c r="AR31" s="12"/>
      <c r="AS31" s="12"/>
      <c r="AT31" s="12"/>
      <c r="AU31" s="12"/>
      <c r="AV31" s="12"/>
    </row>
    <row r="32" customFormat="false" ht="12" hidden="false" customHeight="true" outlineLevel="0" collapsed="false">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2"/>
      <c r="AA32" s="12"/>
      <c r="AB32" s="12"/>
      <c r="AC32" s="12"/>
      <c r="AD32" s="12"/>
      <c r="AE32" s="12"/>
      <c r="AF32" s="12"/>
      <c r="AG32" s="12"/>
      <c r="AH32" s="12"/>
      <c r="AI32" s="12"/>
      <c r="AJ32" s="12"/>
      <c r="AK32" s="12"/>
      <c r="AL32" s="12"/>
      <c r="AM32" s="12"/>
      <c r="AN32" s="12"/>
      <c r="AO32" s="12"/>
      <c r="AP32" s="12"/>
      <c r="AQ32" s="12"/>
      <c r="AR32" s="12"/>
      <c r="AS32" s="12"/>
      <c r="AT32" s="12"/>
      <c r="AU32" s="12"/>
      <c r="AV32" s="12"/>
    </row>
    <row r="33" customFormat="false" ht="12" hidden="false" customHeight="true" outlineLevel="0" collapsed="false">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2"/>
      <c r="AA33" s="12"/>
      <c r="AB33" s="12"/>
      <c r="AC33" s="12"/>
      <c r="AD33" s="12"/>
      <c r="AE33" s="12"/>
      <c r="AF33" s="12"/>
      <c r="AG33" s="12"/>
      <c r="AH33" s="12"/>
      <c r="AI33" s="12"/>
      <c r="AJ33" s="12"/>
      <c r="AK33" s="12"/>
      <c r="AL33" s="12"/>
      <c r="AM33" s="12"/>
      <c r="AN33" s="12"/>
      <c r="AO33" s="12"/>
      <c r="AP33" s="12"/>
      <c r="AQ33" s="12"/>
      <c r="AR33" s="12"/>
      <c r="AS33" s="12"/>
      <c r="AT33" s="12"/>
      <c r="AU33" s="12"/>
      <c r="AV33" s="12"/>
    </row>
    <row r="34" customFormat="false" ht="12" hidden="false" customHeight="true" outlineLevel="0" collapsed="false">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2"/>
      <c r="AA34" s="12"/>
      <c r="AB34" s="12"/>
      <c r="AC34" s="12"/>
      <c r="AD34" s="12"/>
      <c r="AE34" s="12"/>
      <c r="AF34" s="12"/>
      <c r="AG34" s="12"/>
      <c r="AH34" s="12"/>
      <c r="AI34" s="12"/>
      <c r="AJ34" s="12"/>
      <c r="AK34" s="12"/>
      <c r="AL34" s="12"/>
      <c r="AM34" s="12"/>
      <c r="AN34" s="12"/>
      <c r="AO34" s="12"/>
      <c r="AP34" s="12"/>
      <c r="AQ34" s="12"/>
      <c r="AR34" s="12"/>
      <c r="AS34" s="12"/>
      <c r="AT34" s="12"/>
      <c r="AU34" s="12"/>
      <c r="AV34" s="12"/>
    </row>
    <row r="35" customFormat="false" ht="12" hidden="false" customHeight="true" outlineLevel="0" collapsed="false">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2"/>
      <c r="AA35" s="12"/>
      <c r="AB35" s="12"/>
      <c r="AC35" s="12"/>
      <c r="AD35" s="12"/>
      <c r="AE35" s="12"/>
      <c r="AF35" s="12"/>
      <c r="AG35" s="12"/>
      <c r="AH35" s="12"/>
      <c r="AI35" s="12"/>
      <c r="AJ35" s="12"/>
      <c r="AK35" s="12"/>
      <c r="AL35" s="12"/>
      <c r="AM35" s="12"/>
      <c r="AN35" s="12"/>
      <c r="AO35" s="12"/>
      <c r="AP35" s="12"/>
      <c r="AQ35" s="12"/>
      <c r="AR35" s="12"/>
      <c r="AS35" s="12"/>
      <c r="AT35" s="12"/>
      <c r="AU35" s="12"/>
      <c r="AV35" s="12"/>
    </row>
    <row r="36" customFormat="false" ht="12" hidden="false" customHeight="true" outlineLevel="0" collapsed="false">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2"/>
      <c r="AA36" s="12"/>
      <c r="AB36" s="12"/>
      <c r="AC36" s="12"/>
      <c r="AD36" s="12"/>
      <c r="AE36" s="12"/>
      <c r="AF36" s="12"/>
      <c r="AG36" s="12"/>
      <c r="AH36" s="12"/>
      <c r="AI36" s="12"/>
      <c r="AJ36" s="12"/>
      <c r="AK36" s="12"/>
      <c r="AL36" s="12"/>
      <c r="AM36" s="12"/>
      <c r="AN36" s="12"/>
      <c r="AO36" s="12"/>
      <c r="AP36" s="12"/>
      <c r="AQ36" s="12"/>
      <c r="AR36" s="12"/>
      <c r="AS36" s="12"/>
      <c r="AT36" s="12"/>
      <c r="AU36" s="12"/>
      <c r="AV36" s="12"/>
    </row>
    <row r="37" customFormat="false" ht="12" hidden="false" customHeight="true" outlineLevel="0" collapsed="false">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2"/>
      <c r="AA37" s="12"/>
      <c r="AB37" s="12"/>
      <c r="AC37" s="12"/>
      <c r="AD37" s="12"/>
      <c r="AE37" s="12"/>
      <c r="AF37" s="12"/>
      <c r="AG37" s="12"/>
      <c r="AH37" s="12"/>
      <c r="AI37" s="12"/>
      <c r="AJ37" s="12"/>
      <c r="AK37" s="12"/>
      <c r="AL37" s="12"/>
      <c r="AM37" s="12"/>
      <c r="AN37" s="12"/>
      <c r="AO37" s="12"/>
      <c r="AP37" s="12"/>
      <c r="AQ37" s="12"/>
      <c r="AR37" s="12"/>
      <c r="AS37" s="12"/>
      <c r="AT37" s="12"/>
      <c r="AU37" s="12"/>
      <c r="AV37" s="12"/>
    </row>
    <row r="38" customFormat="false" ht="12" hidden="false" customHeight="true" outlineLevel="0" collapsed="false">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2"/>
      <c r="AA38" s="12"/>
      <c r="AB38" s="12"/>
      <c r="AC38" s="12"/>
      <c r="AD38" s="12"/>
      <c r="AE38" s="12"/>
      <c r="AF38" s="12"/>
      <c r="AG38" s="12"/>
      <c r="AH38" s="12"/>
      <c r="AI38" s="12"/>
      <c r="AJ38" s="12"/>
      <c r="AK38" s="12"/>
      <c r="AL38" s="12"/>
      <c r="AM38" s="12"/>
      <c r="AN38" s="12"/>
      <c r="AO38" s="12"/>
      <c r="AP38" s="12"/>
      <c r="AQ38" s="12"/>
      <c r="AR38" s="12"/>
      <c r="AS38" s="12"/>
      <c r="AT38" s="12"/>
      <c r="AU38" s="12"/>
      <c r="AV38" s="12"/>
    </row>
    <row r="39" customFormat="false" ht="12" hidden="false" customHeight="true" outlineLevel="0" collapsed="false">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2"/>
      <c r="AA39" s="12"/>
      <c r="AB39" s="12"/>
      <c r="AC39" s="12"/>
      <c r="AD39" s="12"/>
      <c r="AE39" s="12"/>
      <c r="AF39" s="12"/>
      <c r="AG39" s="12"/>
      <c r="AH39" s="12"/>
      <c r="AI39" s="12"/>
      <c r="AJ39" s="12"/>
      <c r="AK39" s="12"/>
      <c r="AL39" s="12"/>
      <c r="AM39" s="12"/>
      <c r="AN39" s="12"/>
      <c r="AO39" s="12"/>
      <c r="AP39" s="12"/>
      <c r="AQ39" s="12"/>
      <c r="AR39" s="12"/>
      <c r="AS39" s="12"/>
      <c r="AT39" s="12"/>
      <c r="AU39" s="12"/>
      <c r="AV39" s="12"/>
    </row>
    <row r="40" customFormat="false" ht="12" hidden="false" customHeight="true" outlineLevel="0" collapsed="false">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2"/>
      <c r="AA40" s="12"/>
      <c r="AB40" s="12"/>
      <c r="AC40" s="12"/>
      <c r="AD40" s="12"/>
      <c r="AE40" s="12"/>
      <c r="AF40" s="12"/>
      <c r="AG40" s="12"/>
      <c r="AH40" s="12"/>
      <c r="AI40" s="12"/>
      <c r="AJ40" s="12"/>
      <c r="AK40" s="12"/>
      <c r="AL40" s="12"/>
      <c r="AM40" s="12"/>
      <c r="AN40" s="12"/>
      <c r="AO40" s="12"/>
      <c r="AP40" s="12"/>
      <c r="AQ40" s="12"/>
      <c r="AR40" s="12"/>
      <c r="AS40" s="12"/>
      <c r="AT40" s="12"/>
      <c r="AU40" s="12"/>
      <c r="AV40" s="12"/>
    </row>
    <row r="41" customFormat="false" ht="12" hidden="false" customHeight="true" outlineLevel="0" collapsed="false">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2"/>
      <c r="AA41" s="12"/>
      <c r="AB41" s="12"/>
      <c r="AC41" s="12"/>
      <c r="AD41" s="12"/>
      <c r="AE41" s="12"/>
      <c r="AF41" s="12"/>
      <c r="AG41" s="12"/>
      <c r="AH41" s="12"/>
      <c r="AI41" s="12"/>
      <c r="AJ41" s="12"/>
      <c r="AK41" s="12"/>
      <c r="AL41" s="12"/>
      <c r="AM41" s="12"/>
      <c r="AN41" s="12"/>
      <c r="AO41" s="12"/>
      <c r="AP41" s="12"/>
      <c r="AQ41" s="12"/>
      <c r="AR41" s="12"/>
      <c r="AS41" s="12"/>
      <c r="AT41" s="12"/>
      <c r="AU41" s="12"/>
      <c r="AV41" s="12"/>
    </row>
    <row r="42" customFormat="false" ht="12" hidden="false" customHeight="true" outlineLevel="0" collapsed="false">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2"/>
      <c r="AA42" s="12"/>
      <c r="AB42" s="12"/>
      <c r="AC42" s="12"/>
      <c r="AD42" s="12"/>
      <c r="AE42" s="12"/>
      <c r="AF42" s="12"/>
      <c r="AG42" s="12"/>
      <c r="AH42" s="12"/>
      <c r="AI42" s="12"/>
      <c r="AJ42" s="12"/>
      <c r="AK42" s="12"/>
      <c r="AL42" s="12"/>
      <c r="AM42" s="12"/>
      <c r="AN42" s="12"/>
      <c r="AO42" s="12"/>
      <c r="AP42" s="12"/>
      <c r="AQ42" s="12"/>
      <c r="AR42" s="12"/>
      <c r="AS42" s="12"/>
      <c r="AT42" s="12"/>
      <c r="AU42" s="12"/>
      <c r="AV42" s="12"/>
    </row>
    <row r="43" customFormat="false" ht="12" hidden="false" customHeight="true" outlineLevel="0" collapsed="false">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2"/>
      <c r="AA43" s="12"/>
      <c r="AB43" s="12"/>
      <c r="AC43" s="12"/>
      <c r="AD43" s="12"/>
      <c r="AE43" s="12"/>
      <c r="AF43" s="12"/>
      <c r="AG43" s="12"/>
      <c r="AH43" s="12"/>
      <c r="AI43" s="12"/>
      <c r="AJ43" s="12"/>
      <c r="AK43" s="12"/>
      <c r="AL43" s="12"/>
      <c r="AM43" s="12"/>
      <c r="AN43" s="12"/>
      <c r="AO43" s="12"/>
      <c r="AP43" s="12"/>
      <c r="AQ43" s="12"/>
      <c r="AR43" s="12"/>
      <c r="AS43" s="12"/>
      <c r="AT43" s="12"/>
      <c r="AU43" s="12"/>
      <c r="AV43" s="12"/>
    </row>
    <row r="44" customFormat="false" ht="12" hidden="false" customHeight="true" outlineLevel="0" collapsed="false">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2"/>
      <c r="AA44" s="12"/>
      <c r="AB44" s="12"/>
      <c r="AC44" s="12"/>
      <c r="AD44" s="12"/>
      <c r="AE44" s="12"/>
      <c r="AF44" s="12"/>
      <c r="AG44" s="12"/>
      <c r="AH44" s="12"/>
      <c r="AI44" s="12"/>
      <c r="AJ44" s="12"/>
      <c r="AK44" s="12"/>
      <c r="AL44" s="12"/>
      <c r="AM44" s="12"/>
      <c r="AN44" s="12"/>
      <c r="AO44" s="12"/>
      <c r="AP44" s="12"/>
      <c r="AQ44" s="12"/>
      <c r="AR44" s="12"/>
      <c r="AS44" s="12"/>
      <c r="AT44" s="12"/>
      <c r="AU44" s="12"/>
      <c r="AV44" s="12"/>
    </row>
    <row r="45" customFormat="false" ht="12" hidden="false" customHeight="true" outlineLevel="0" collapsed="false">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2"/>
      <c r="AA45" s="12"/>
      <c r="AB45" s="12"/>
      <c r="AC45" s="12"/>
      <c r="AD45" s="12"/>
      <c r="AE45" s="12"/>
      <c r="AF45" s="12"/>
      <c r="AG45" s="12"/>
      <c r="AH45" s="12"/>
      <c r="AI45" s="12"/>
      <c r="AJ45" s="12"/>
      <c r="AK45" s="12"/>
      <c r="AL45" s="12"/>
      <c r="AM45" s="12"/>
      <c r="AN45" s="12"/>
      <c r="AO45" s="12"/>
      <c r="AP45" s="12"/>
      <c r="AQ45" s="12"/>
      <c r="AR45" s="12"/>
      <c r="AS45" s="12"/>
      <c r="AT45" s="12"/>
      <c r="AU45" s="12"/>
      <c r="AV45" s="12"/>
    </row>
    <row r="46" customFormat="false" ht="12" hidden="false" customHeight="true" outlineLevel="0" collapsed="false">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2"/>
      <c r="AA46" s="12"/>
      <c r="AB46" s="12"/>
      <c r="AC46" s="12"/>
      <c r="AD46" s="12"/>
      <c r="AE46" s="12"/>
      <c r="AF46" s="12"/>
      <c r="AG46" s="12"/>
      <c r="AH46" s="12"/>
      <c r="AI46" s="12"/>
      <c r="AJ46" s="12"/>
      <c r="AK46" s="12"/>
      <c r="AL46" s="12"/>
      <c r="AM46" s="12"/>
      <c r="AN46" s="12"/>
      <c r="AO46" s="12"/>
      <c r="AP46" s="12"/>
      <c r="AQ46" s="12"/>
      <c r="AR46" s="12"/>
      <c r="AS46" s="12"/>
      <c r="AT46" s="12"/>
      <c r="AU46" s="12"/>
      <c r="AV46" s="12"/>
    </row>
    <row r="47" customFormat="false" ht="12" hidden="false" customHeight="true" outlineLevel="0" collapsed="false">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2"/>
      <c r="AA47" s="12"/>
      <c r="AB47" s="12"/>
      <c r="AC47" s="12"/>
      <c r="AD47" s="12"/>
      <c r="AE47" s="12"/>
      <c r="AF47" s="12"/>
      <c r="AG47" s="12"/>
      <c r="AH47" s="12"/>
      <c r="AI47" s="12"/>
      <c r="AJ47" s="12"/>
      <c r="AK47" s="12"/>
      <c r="AL47" s="12"/>
      <c r="AM47" s="12"/>
      <c r="AN47" s="12"/>
      <c r="AO47" s="12"/>
      <c r="AP47" s="12"/>
      <c r="AQ47" s="12"/>
      <c r="AR47" s="12"/>
      <c r="AS47" s="12"/>
      <c r="AT47" s="12"/>
      <c r="AU47" s="12"/>
      <c r="AV47" s="12"/>
    </row>
    <row r="48" customFormat="false" ht="12" hidden="false" customHeight="true" outlineLevel="0" collapsed="false">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2"/>
      <c r="AA48" s="12"/>
      <c r="AB48" s="12"/>
      <c r="AC48" s="12"/>
      <c r="AD48" s="12"/>
      <c r="AE48" s="12"/>
      <c r="AF48" s="12"/>
      <c r="AG48" s="12"/>
      <c r="AH48" s="12"/>
      <c r="AI48" s="12"/>
      <c r="AJ48" s="12"/>
      <c r="AK48" s="12"/>
      <c r="AL48" s="12"/>
      <c r="AM48" s="12"/>
      <c r="AN48" s="12"/>
      <c r="AO48" s="12"/>
      <c r="AP48" s="12"/>
      <c r="AQ48" s="12"/>
      <c r="AR48" s="12"/>
      <c r="AS48" s="12"/>
      <c r="AT48" s="12"/>
      <c r="AU48" s="12"/>
      <c r="AV48" s="12"/>
    </row>
    <row r="49" customFormat="false" ht="12" hidden="false" customHeight="true" outlineLevel="0" collapsed="false">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2"/>
      <c r="AA49" s="12"/>
      <c r="AB49" s="12"/>
      <c r="AC49" s="12"/>
      <c r="AD49" s="12"/>
      <c r="AE49" s="12"/>
      <c r="AF49" s="12"/>
      <c r="AG49" s="12"/>
      <c r="AH49" s="12"/>
      <c r="AI49" s="12"/>
      <c r="AJ49" s="12"/>
      <c r="AK49" s="12"/>
      <c r="AL49" s="12"/>
      <c r="AM49" s="12"/>
      <c r="AN49" s="12"/>
      <c r="AO49" s="12"/>
      <c r="AP49" s="12"/>
      <c r="AQ49" s="12"/>
      <c r="AR49" s="12"/>
      <c r="AS49" s="12"/>
      <c r="AT49" s="12"/>
      <c r="AU49" s="12"/>
      <c r="AV49" s="12"/>
    </row>
    <row r="50" customFormat="false" ht="12" hidden="false" customHeight="true" outlineLevel="0" collapsed="false">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2"/>
      <c r="AA50" s="12"/>
      <c r="AB50" s="12"/>
      <c r="AC50" s="12"/>
      <c r="AD50" s="12"/>
      <c r="AE50" s="12"/>
      <c r="AF50" s="12"/>
      <c r="AG50" s="12"/>
      <c r="AH50" s="12"/>
      <c r="AI50" s="12"/>
      <c r="AJ50" s="12"/>
      <c r="AK50" s="12"/>
      <c r="AL50" s="12"/>
      <c r="AM50" s="12"/>
      <c r="AN50" s="12"/>
      <c r="AO50" s="12"/>
      <c r="AP50" s="12"/>
      <c r="AQ50" s="12"/>
      <c r="AR50" s="12"/>
      <c r="AS50" s="12"/>
      <c r="AT50" s="12"/>
      <c r="AU50" s="12"/>
      <c r="AV50" s="12"/>
    </row>
    <row r="51" customFormat="false" ht="12" hidden="false" customHeight="true" outlineLevel="0" collapsed="false">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2"/>
      <c r="AA51" s="12"/>
      <c r="AB51" s="12"/>
      <c r="AC51" s="12"/>
      <c r="AD51" s="12"/>
      <c r="AE51" s="12"/>
      <c r="AF51" s="12"/>
      <c r="AG51" s="12"/>
      <c r="AH51" s="12"/>
      <c r="AI51" s="12"/>
      <c r="AJ51" s="12"/>
      <c r="AK51" s="12"/>
      <c r="AL51" s="12"/>
      <c r="AM51" s="12"/>
      <c r="AN51" s="12"/>
      <c r="AO51" s="12"/>
      <c r="AP51" s="12"/>
      <c r="AQ51" s="12"/>
      <c r="AR51" s="12"/>
      <c r="AS51" s="12"/>
      <c r="AT51" s="12"/>
      <c r="AU51" s="12"/>
      <c r="AV51" s="12"/>
    </row>
    <row r="52" customFormat="false" ht="12" hidden="false" customHeight="true" outlineLevel="0" collapsed="false">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2"/>
      <c r="AA52" s="12"/>
      <c r="AB52" s="12"/>
      <c r="AC52" s="12"/>
      <c r="AD52" s="12"/>
      <c r="AE52" s="12"/>
      <c r="AF52" s="12"/>
      <c r="AG52" s="12"/>
      <c r="AH52" s="12"/>
      <c r="AI52" s="12"/>
      <c r="AJ52" s="12"/>
      <c r="AK52" s="12"/>
      <c r="AL52" s="12"/>
      <c r="AM52" s="12"/>
      <c r="AN52" s="12"/>
      <c r="AO52" s="12"/>
      <c r="AP52" s="12"/>
      <c r="AQ52" s="12"/>
      <c r="AR52" s="12"/>
      <c r="AS52" s="12"/>
      <c r="AT52" s="12"/>
      <c r="AU52" s="12"/>
      <c r="AV52" s="12"/>
    </row>
    <row r="53" customFormat="false" ht="12" hidden="false" customHeight="true" outlineLevel="0" collapsed="false">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2"/>
      <c r="AA53" s="12"/>
      <c r="AB53" s="12"/>
      <c r="AC53" s="12"/>
      <c r="AD53" s="12"/>
      <c r="AE53" s="12"/>
      <c r="AF53" s="12"/>
      <c r="AG53" s="12"/>
      <c r="AH53" s="12"/>
      <c r="AI53" s="12"/>
      <c r="AJ53" s="12"/>
      <c r="AK53" s="12"/>
      <c r="AL53" s="12"/>
      <c r="AM53" s="12"/>
      <c r="AN53" s="12"/>
      <c r="AO53" s="12"/>
      <c r="AP53" s="12"/>
      <c r="AQ53" s="12"/>
      <c r="AR53" s="12"/>
      <c r="AS53" s="12"/>
      <c r="AT53" s="12"/>
      <c r="AU53" s="12"/>
      <c r="AV53" s="12"/>
    </row>
    <row r="54" customFormat="false" ht="12" hidden="false" customHeight="true" outlineLevel="0" collapsed="false">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2"/>
      <c r="AA54" s="12"/>
      <c r="AB54" s="12"/>
      <c r="AC54" s="12"/>
      <c r="AD54" s="12"/>
      <c r="AE54" s="12"/>
      <c r="AF54" s="12"/>
      <c r="AG54" s="12"/>
      <c r="AH54" s="12"/>
      <c r="AI54" s="12"/>
      <c r="AJ54" s="12"/>
      <c r="AK54" s="12"/>
      <c r="AL54" s="12"/>
      <c r="AM54" s="12"/>
      <c r="AN54" s="12"/>
      <c r="AO54" s="12"/>
      <c r="AP54" s="12"/>
      <c r="AQ54" s="12"/>
      <c r="AR54" s="12"/>
      <c r="AS54" s="12"/>
      <c r="AT54" s="12"/>
      <c r="AU54" s="12"/>
      <c r="AV54" s="12"/>
    </row>
    <row r="55" customFormat="false" ht="12" hidden="false" customHeight="true" outlineLevel="0" collapsed="false">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2"/>
      <c r="AA55" s="12"/>
      <c r="AB55" s="12"/>
      <c r="AC55" s="12"/>
      <c r="AD55" s="12"/>
      <c r="AE55" s="12"/>
      <c r="AF55" s="12"/>
      <c r="AG55" s="12"/>
      <c r="AH55" s="12"/>
      <c r="AI55" s="12"/>
      <c r="AJ55" s="12"/>
      <c r="AK55" s="12"/>
      <c r="AL55" s="12"/>
      <c r="AM55" s="12"/>
      <c r="AN55" s="12"/>
      <c r="AO55" s="12"/>
      <c r="AP55" s="12"/>
      <c r="AQ55" s="12"/>
      <c r="AR55" s="12"/>
      <c r="AS55" s="12"/>
      <c r="AT55" s="12"/>
      <c r="AU55" s="12"/>
      <c r="AV55" s="12"/>
    </row>
    <row r="56" customFormat="false" ht="12" hidden="false" customHeight="true" outlineLevel="0" collapsed="false">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2"/>
      <c r="AA56" s="12"/>
      <c r="AB56" s="12"/>
      <c r="AC56" s="12"/>
      <c r="AD56" s="12"/>
      <c r="AE56" s="12"/>
      <c r="AF56" s="12"/>
      <c r="AG56" s="12"/>
      <c r="AH56" s="12"/>
      <c r="AI56" s="12"/>
      <c r="AJ56" s="12"/>
      <c r="AK56" s="12"/>
      <c r="AL56" s="12"/>
      <c r="AM56" s="12"/>
      <c r="AN56" s="12"/>
      <c r="AO56" s="12"/>
      <c r="AP56" s="12"/>
      <c r="AQ56" s="12"/>
      <c r="AR56" s="12"/>
      <c r="AS56" s="12"/>
      <c r="AT56" s="12"/>
      <c r="AU56" s="12"/>
      <c r="AV56" s="12"/>
    </row>
    <row r="57" customFormat="false" ht="12" hidden="false" customHeight="true" outlineLevel="0" collapsed="false">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2"/>
      <c r="AA57" s="12"/>
      <c r="AB57" s="12"/>
      <c r="AC57" s="12"/>
      <c r="AD57" s="12"/>
      <c r="AE57" s="12"/>
      <c r="AF57" s="12"/>
      <c r="AG57" s="12"/>
      <c r="AH57" s="12"/>
      <c r="AI57" s="12"/>
      <c r="AJ57" s="12"/>
      <c r="AK57" s="12"/>
      <c r="AL57" s="12"/>
      <c r="AM57" s="12"/>
      <c r="AN57" s="12"/>
      <c r="AO57" s="12"/>
      <c r="AP57" s="12"/>
      <c r="AQ57" s="12"/>
      <c r="AR57" s="12"/>
      <c r="AS57" s="12"/>
      <c r="AT57" s="12"/>
      <c r="AU57" s="12"/>
      <c r="AV57" s="12"/>
    </row>
    <row r="58" customFormat="false" ht="12" hidden="false" customHeight="true" outlineLevel="0" collapsed="false">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2"/>
      <c r="AA58" s="12"/>
      <c r="AB58" s="12"/>
      <c r="AC58" s="12"/>
      <c r="AD58" s="12"/>
      <c r="AE58" s="12"/>
      <c r="AF58" s="12"/>
      <c r="AG58" s="12"/>
      <c r="AH58" s="12"/>
      <c r="AI58" s="12"/>
      <c r="AJ58" s="12"/>
      <c r="AK58" s="12"/>
      <c r="AL58" s="12"/>
      <c r="AM58" s="12"/>
      <c r="AN58" s="12"/>
      <c r="AO58" s="12"/>
      <c r="AP58" s="12"/>
      <c r="AQ58" s="12"/>
      <c r="AR58" s="12"/>
      <c r="AS58" s="12"/>
      <c r="AT58" s="12"/>
      <c r="AU58" s="12"/>
      <c r="AV58" s="12"/>
    </row>
    <row r="59" customFormat="false" ht="12" hidden="false" customHeight="true" outlineLevel="0" collapsed="false">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row>
    <row r="60" customFormat="false" ht="12" hidden="false" customHeight="true" outlineLevel="0" collapsed="false">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row>
    <row r="61" customFormat="false" ht="12" hidden="false" customHeight="true" outlineLevel="0" collapsed="false">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row>
    <row r="62" customFormat="false" ht="12" hidden="false" customHeight="true" outlineLevel="0" collapsed="false">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row>
  </sheetData>
  <mergeCells count="1">
    <mergeCell ref="A1:Y5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7"/>
  <sheetViews>
    <sheetView showFormulas="false" showGridLines="true" showRowColHeaders="true" showZeros="true" rightToLeft="false" tabSelected="false" showOutlineSymbols="true" defaultGridColor="true" view="normal" topLeftCell="E1" colorId="64" zoomScale="30" zoomScaleNormal="30" zoomScalePageLayoutView="100" workbookViewId="0">
      <selection pane="topLeft" activeCell="D49" activeCellId="0" sqref="D49"/>
    </sheetView>
  </sheetViews>
  <sheetFormatPr defaultColWidth="8.73046875" defaultRowHeight="13" customHeight="false" zeroHeight="false" outlineLevelRow="0" outlineLevelCol="0"/>
  <cols>
    <col collapsed="false" customWidth="true" hidden="false" outlineLevel="0" max="1" min="1" style="13" width="30.63"/>
    <col collapsed="false" customWidth="false" hidden="false" outlineLevel="0" max="2" min="2" style="13" width="8.73"/>
    <col collapsed="false" customWidth="true" hidden="false" outlineLevel="0" max="3" min="3" style="13" width="71"/>
    <col collapsed="false" customWidth="true" hidden="false" outlineLevel="0" max="4" min="4" style="13" width="47.09"/>
    <col collapsed="false" customWidth="true" hidden="false" outlineLevel="0" max="5" min="5" style="13" width="60.54"/>
    <col collapsed="false" customWidth="false" hidden="false" outlineLevel="0" max="6" min="6" style="13" width="8.73"/>
    <col collapsed="false" customWidth="true" hidden="false" outlineLevel="0" max="8" min="7" style="13" width="25.18"/>
    <col collapsed="false" customWidth="false" hidden="false" outlineLevel="0" max="16384" min="9" style="13" width="8.73"/>
  </cols>
  <sheetData>
    <row r="1" customFormat="false" ht="23.25" hidden="false" customHeight="true" outlineLevel="0" collapsed="false">
      <c r="A1" s="14" t="s">
        <v>13</v>
      </c>
      <c r="B1" s="15" t="s">
        <v>14</v>
      </c>
      <c r="C1" s="15"/>
      <c r="D1" s="16" t="s">
        <v>15</v>
      </c>
      <c r="E1" s="17" t="s">
        <v>16</v>
      </c>
    </row>
    <row r="2" customFormat="false" ht="23.25" hidden="false" customHeight="true" outlineLevel="0" collapsed="false">
      <c r="A2" s="14" t="s">
        <v>17</v>
      </c>
      <c r="B2" s="18" t="s">
        <v>18</v>
      </c>
      <c r="C2" s="18"/>
      <c r="D2" s="16" t="s">
        <v>19</v>
      </c>
      <c r="E2" s="19" t="s">
        <v>20</v>
      </c>
    </row>
    <row r="3" customFormat="false" ht="23.25" hidden="false" customHeight="true" outlineLevel="0" collapsed="false">
      <c r="A3" s="20" t="s">
        <v>21</v>
      </c>
      <c r="B3" s="15" t="s">
        <v>22</v>
      </c>
      <c r="C3" s="15"/>
      <c r="D3" s="16" t="s">
        <v>23</v>
      </c>
      <c r="E3" s="19" t="s">
        <v>24</v>
      </c>
    </row>
    <row r="4" customFormat="false" ht="23.25" hidden="false" customHeight="true" outlineLevel="0" collapsed="false">
      <c r="A4" s="16" t="s">
        <v>25</v>
      </c>
      <c r="B4" s="15" t="s">
        <v>26</v>
      </c>
      <c r="C4" s="15"/>
      <c r="D4" s="16" t="s">
        <v>27</v>
      </c>
      <c r="E4" s="19" t="s">
        <v>28</v>
      </c>
    </row>
    <row r="5" customFormat="false" ht="23.25" hidden="false" customHeight="true" outlineLevel="0" collapsed="false">
      <c r="A5" s="16" t="s">
        <v>29</v>
      </c>
      <c r="B5" s="15" t="s">
        <v>30</v>
      </c>
      <c r="C5" s="15"/>
      <c r="D5" s="16" t="s">
        <v>31</v>
      </c>
      <c r="E5" s="19" t="s">
        <v>32</v>
      </c>
    </row>
    <row r="6" customFormat="false" ht="23.25" hidden="false" customHeight="true" outlineLevel="0" collapsed="false">
      <c r="A6" s="16" t="s">
        <v>33</v>
      </c>
      <c r="B6" s="15" t="s">
        <v>34</v>
      </c>
      <c r="C6" s="15"/>
      <c r="D6" s="16" t="s">
        <v>35</v>
      </c>
      <c r="E6" s="21" t="s">
        <v>36</v>
      </c>
    </row>
    <row r="7" customFormat="false" ht="23.25" hidden="false" customHeight="true" outlineLevel="0" collapsed="false">
      <c r="A7" s="16" t="s">
        <v>37</v>
      </c>
      <c r="B7" s="15" t="n">
        <v>400021</v>
      </c>
      <c r="C7" s="15"/>
      <c r="D7" s="16" t="s">
        <v>38</v>
      </c>
      <c r="E7" s="22" t="s">
        <v>39</v>
      </c>
    </row>
    <row r="8" customFormat="false" ht="23.25" hidden="false" customHeight="true" outlineLevel="0" collapsed="false">
      <c r="A8" s="16" t="s">
        <v>40</v>
      </c>
      <c r="B8" s="15" t="s">
        <v>41</v>
      </c>
      <c r="C8" s="15"/>
      <c r="D8" s="16" t="s">
        <v>42</v>
      </c>
      <c r="E8" s="16" t="s">
        <v>43</v>
      </c>
    </row>
    <row r="9" customFormat="false" ht="23.25" hidden="false" customHeight="true" outlineLevel="0" collapsed="false">
      <c r="A9" s="16" t="s">
        <v>44</v>
      </c>
      <c r="B9" s="15" t="s">
        <v>45</v>
      </c>
      <c r="C9" s="15"/>
      <c r="D9" s="16" t="s">
        <v>46</v>
      </c>
      <c r="E9" s="16" t="s">
        <v>47</v>
      </c>
    </row>
    <row r="10" customFormat="false" ht="23.25" hidden="false" customHeight="true" outlineLevel="0" collapsed="false">
      <c r="A10" s="16" t="s">
        <v>48</v>
      </c>
      <c r="B10" s="18" t="s">
        <v>49</v>
      </c>
      <c r="C10" s="18"/>
      <c r="D10" s="16" t="s">
        <v>50</v>
      </c>
      <c r="E10" s="23" t="s">
        <v>51</v>
      </c>
    </row>
    <row r="11" customFormat="false" ht="23.25" hidden="false" customHeight="true" outlineLevel="0" collapsed="false">
      <c r="A11" s="16" t="s">
        <v>52</v>
      </c>
      <c r="B11" s="15" t="s">
        <v>53</v>
      </c>
      <c r="C11" s="15"/>
      <c r="D11" s="16" t="s">
        <v>54</v>
      </c>
      <c r="E11" s="24" t="s">
        <v>55</v>
      </c>
    </row>
    <row r="12" customFormat="false" ht="23.25" hidden="false" customHeight="true" outlineLevel="0" collapsed="false">
      <c r="A12" s="16"/>
      <c r="B12" s="15"/>
      <c r="C12" s="15"/>
      <c r="D12" s="16"/>
      <c r="E12" s="16"/>
    </row>
    <row r="13" customFormat="false" ht="23.25" hidden="false" customHeight="true" outlineLevel="0" collapsed="false">
      <c r="A13" s="25" t="s">
        <v>56</v>
      </c>
      <c r="B13" s="25"/>
      <c r="C13" s="25"/>
      <c r="D13" s="25"/>
      <c r="E13" s="25"/>
      <c r="G13" s="26" t="s">
        <v>57</v>
      </c>
      <c r="H13" s="26"/>
    </row>
    <row r="14" customFormat="false" ht="23.25" hidden="false" customHeight="true" outlineLevel="0" collapsed="false">
      <c r="A14" s="27" t="s">
        <v>58</v>
      </c>
      <c r="B14" s="28" t="s">
        <v>59</v>
      </c>
      <c r="C14" s="28" t="s">
        <v>60</v>
      </c>
      <c r="D14" s="28" t="s">
        <v>61</v>
      </c>
      <c r="E14" s="28" t="s">
        <v>62</v>
      </c>
      <c r="G14" s="4" t="s">
        <v>63</v>
      </c>
      <c r="H14" s="29" t="n">
        <f aca="false">COUNTA(C16:C36)-3</f>
        <v>18</v>
      </c>
    </row>
    <row r="15" customFormat="false" ht="23.25" hidden="false" customHeight="true" outlineLevel="0" collapsed="false">
      <c r="A15" s="30"/>
      <c r="B15" s="30"/>
      <c r="C15" s="31" t="s">
        <v>64</v>
      </c>
      <c r="D15" s="31"/>
      <c r="E15" s="31"/>
      <c r="G15" s="4" t="s">
        <v>65</v>
      </c>
      <c r="H15" s="29" t="n">
        <f aca="false">COUNTIF(D16:D36,"YES")+COUNTIF(D16:D36,"NO")</f>
        <v>19</v>
      </c>
    </row>
    <row r="16" customFormat="false" ht="23.25" hidden="false" customHeight="true" outlineLevel="0" collapsed="false">
      <c r="A16" s="32" t="s">
        <v>66</v>
      </c>
      <c r="B16" s="33" t="n">
        <v>1</v>
      </c>
      <c r="C16" s="34" t="s">
        <v>67</v>
      </c>
      <c r="D16" s="35" t="s">
        <v>68</v>
      </c>
      <c r="E16" s="34" t="s">
        <v>69</v>
      </c>
      <c r="G16" s="4" t="s">
        <v>70</v>
      </c>
      <c r="H16" s="29" t="n">
        <f aca="false">COUNTIF(D16:D36,"YES")</f>
        <v>10</v>
      </c>
    </row>
    <row r="17" customFormat="false" ht="23.25" hidden="false" customHeight="true" outlineLevel="0" collapsed="false">
      <c r="A17" s="32" t="s">
        <v>66</v>
      </c>
      <c r="B17" s="33" t="n">
        <v>2</v>
      </c>
      <c r="C17" s="34" t="s">
        <v>71</v>
      </c>
      <c r="D17" s="35" t="s">
        <v>68</v>
      </c>
      <c r="E17" s="34" t="s">
        <v>69</v>
      </c>
      <c r="G17" s="4" t="s">
        <v>4</v>
      </c>
      <c r="H17" s="29" t="n">
        <f aca="false">COUNTIF(D16:D36,"NO")</f>
        <v>9</v>
      </c>
    </row>
    <row r="18" customFormat="false" ht="23.25" hidden="false" customHeight="true" outlineLevel="0" collapsed="false">
      <c r="A18" s="32" t="s">
        <v>66</v>
      </c>
      <c r="B18" s="33" t="n">
        <v>3</v>
      </c>
      <c r="C18" s="34" t="s">
        <v>72</v>
      </c>
      <c r="D18" s="35" t="s">
        <v>68</v>
      </c>
      <c r="E18" s="34" t="s">
        <v>69</v>
      </c>
      <c r="G18" s="4" t="s">
        <v>73</v>
      </c>
      <c r="H18" s="29" t="n">
        <f aca="false">_xlfn.countifs(A16:A36,"HIGH",D16:D36,"YES")</f>
        <v>1</v>
      </c>
    </row>
    <row r="19" customFormat="false" ht="23.25" hidden="false" customHeight="true" outlineLevel="0" collapsed="false">
      <c r="A19" s="32" t="s">
        <v>66</v>
      </c>
      <c r="B19" s="33" t="n">
        <v>4</v>
      </c>
      <c r="C19" s="34" t="s">
        <v>74</v>
      </c>
      <c r="D19" s="35" t="s">
        <v>68</v>
      </c>
      <c r="E19" s="34" t="s">
        <v>69</v>
      </c>
      <c r="G19" s="4" t="s">
        <v>6</v>
      </c>
      <c r="H19" s="36" t="n">
        <f aca="false">IF(H15=0,0,H16/H15)</f>
        <v>0.526315789473684</v>
      </c>
    </row>
    <row r="20" customFormat="false" ht="23.25" hidden="false" customHeight="true" outlineLevel="0" collapsed="false">
      <c r="A20" s="32" t="s">
        <v>66</v>
      </c>
      <c r="B20" s="33" t="n">
        <v>5</v>
      </c>
      <c r="C20" s="34" t="s">
        <v>75</v>
      </c>
      <c r="D20" s="35" t="s">
        <v>68</v>
      </c>
      <c r="E20" s="34" t="s">
        <v>69</v>
      </c>
    </row>
    <row r="21" customFormat="false" ht="23.25" hidden="false" customHeight="true" outlineLevel="0" collapsed="false">
      <c r="A21" s="32" t="s">
        <v>66</v>
      </c>
      <c r="B21" s="33" t="n">
        <v>6</v>
      </c>
      <c r="C21" s="34" t="s">
        <v>76</v>
      </c>
      <c r="D21" s="35" t="s">
        <v>77</v>
      </c>
      <c r="E21" s="34" t="s">
        <v>69</v>
      </c>
    </row>
    <row r="22" customFormat="false" ht="23.25" hidden="false" customHeight="true" outlineLevel="0" collapsed="false">
      <c r="A22" s="32" t="s">
        <v>66</v>
      </c>
      <c r="B22" s="33" t="n">
        <v>7</v>
      </c>
      <c r="C22" s="34" t="s">
        <v>78</v>
      </c>
      <c r="D22" s="35" t="s">
        <v>68</v>
      </c>
      <c r="E22" s="34" t="s">
        <v>69</v>
      </c>
    </row>
    <row r="23" customFormat="false" ht="23.25" hidden="false" customHeight="true" outlineLevel="0" collapsed="false">
      <c r="A23" s="32" t="s">
        <v>66</v>
      </c>
      <c r="B23" s="33" t="n">
        <v>8</v>
      </c>
      <c r="C23" s="34" t="s">
        <v>79</v>
      </c>
      <c r="D23" s="35" t="s">
        <v>68</v>
      </c>
      <c r="E23" s="34" t="s">
        <v>69</v>
      </c>
    </row>
    <row r="24" customFormat="false" ht="23.25" hidden="false" customHeight="true" outlineLevel="0" collapsed="false">
      <c r="A24" s="32" t="s">
        <v>66</v>
      </c>
      <c r="B24" s="33" t="n">
        <v>9</v>
      </c>
      <c r="C24" s="34" t="s">
        <v>80</v>
      </c>
      <c r="D24" s="35" t="s">
        <v>68</v>
      </c>
      <c r="E24" s="34" t="s">
        <v>69</v>
      </c>
    </row>
    <row r="25" customFormat="false" ht="23.25" hidden="false" customHeight="true" outlineLevel="0" collapsed="false">
      <c r="A25" s="37" t="s">
        <v>81</v>
      </c>
      <c r="B25" s="33" t="n">
        <v>10</v>
      </c>
      <c r="C25" s="34" t="s">
        <v>82</v>
      </c>
      <c r="D25" s="35" t="s">
        <v>68</v>
      </c>
      <c r="E25" s="34" t="s">
        <v>83</v>
      </c>
    </row>
    <row r="26" customFormat="false" ht="23.25" hidden="false" customHeight="true" outlineLevel="0" collapsed="false">
      <c r="A26" s="37" t="s">
        <v>81</v>
      </c>
      <c r="B26" s="33" t="n">
        <v>11</v>
      </c>
      <c r="C26" s="34" t="s">
        <v>84</v>
      </c>
      <c r="D26" s="35" t="s">
        <v>77</v>
      </c>
      <c r="E26" s="34" t="s">
        <v>83</v>
      </c>
    </row>
    <row r="27" customFormat="false" ht="23.25" hidden="false" customHeight="true" outlineLevel="0" collapsed="false">
      <c r="A27" s="37" t="s">
        <v>81</v>
      </c>
      <c r="B27" s="33" t="n">
        <v>12</v>
      </c>
      <c r="C27" s="34" t="s">
        <v>85</v>
      </c>
      <c r="D27" s="35" t="s">
        <v>77</v>
      </c>
      <c r="E27" s="34" t="s">
        <v>69</v>
      </c>
    </row>
    <row r="28" customFormat="false" ht="23.25" hidden="false" customHeight="true" outlineLevel="0" collapsed="false">
      <c r="A28" s="37" t="s">
        <v>81</v>
      </c>
      <c r="B28" s="33" t="n">
        <v>13</v>
      </c>
      <c r="C28" s="34" t="s">
        <v>86</v>
      </c>
      <c r="D28" s="35" t="s">
        <v>77</v>
      </c>
      <c r="E28" s="34" t="s">
        <v>87</v>
      </c>
    </row>
    <row r="29" customFormat="false" ht="23.25" hidden="false" customHeight="true" outlineLevel="0" collapsed="false">
      <c r="A29" s="38" t="s">
        <v>88</v>
      </c>
      <c r="B29" s="33" t="n">
        <v>14</v>
      </c>
      <c r="C29" s="34" t="s">
        <v>89</v>
      </c>
      <c r="D29" s="35" t="s">
        <v>68</v>
      </c>
      <c r="E29" s="39" t="s">
        <v>90</v>
      </c>
    </row>
    <row r="30" customFormat="false" ht="23.25" hidden="false" customHeight="true" outlineLevel="0" collapsed="false">
      <c r="A30" s="30"/>
      <c r="B30" s="30"/>
      <c r="C30" s="40" t="s">
        <v>91</v>
      </c>
      <c r="D30" s="40"/>
      <c r="E30" s="40"/>
    </row>
    <row r="31" customFormat="false" ht="23.25" hidden="false" customHeight="true" outlineLevel="0" collapsed="false">
      <c r="A31" s="32" t="s">
        <v>66</v>
      </c>
      <c r="B31" s="33" t="n">
        <v>15</v>
      </c>
      <c r="C31" s="34" t="s">
        <v>92</v>
      </c>
      <c r="D31" s="41" t="s">
        <v>77</v>
      </c>
      <c r="E31" s="34" t="s">
        <v>93</v>
      </c>
    </row>
    <row r="32" customFormat="false" ht="23.25" hidden="false" customHeight="true" outlineLevel="0" collapsed="false">
      <c r="A32" s="32" t="s">
        <v>66</v>
      </c>
      <c r="B32" s="33" t="n">
        <v>16</v>
      </c>
      <c r="C32" s="34" t="s">
        <v>94</v>
      </c>
      <c r="D32" s="41" t="s">
        <v>77</v>
      </c>
      <c r="E32" s="34" t="s">
        <v>95</v>
      </c>
    </row>
    <row r="33" customFormat="false" ht="23.25" hidden="false" customHeight="true" outlineLevel="0" collapsed="false">
      <c r="A33" s="30"/>
      <c r="B33" s="30"/>
      <c r="C33" s="40" t="s">
        <v>96</v>
      </c>
      <c r="D33" s="40"/>
      <c r="E33" s="40"/>
    </row>
    <row r="34" customFormat="false" ht="23.25" hidden="false" customHeight="true" outlineLevel="0" collapsed="false">
      <c r="A34" s="37" t="s">
        <v>81</v>
      </c>
      <c r="B34" s="33" t="n">
        <v>17</v>
      </c>
      <c r="C34" s="34" t="s">
        <v>97</v>
      </c>
      <c r="D34" s="41" t="s">
        <v>77</v>
      </c>
      <c r="E34" s="34" t="s">
        <v>98</v>
      </c>
    </row>
    <row r="35" customFormat="false" ht="23.25" hidden="false" customHeight="true" outlineLevel="0" collapsed="false">
      <c r="A35" s="37" t="s">
        <v>81</v>
      </c>
      <c r="B35" s="33" t="n">
        <v>18</v>
      </c>
      <c r="C35" s="34" t="s">
        <v>99</v>
      </c>
      <c r="D35" s="41" t="s">
        <v>77</v>
      </c>
      <c r="E35" s="39" t="s">
        <v>100</v>
      </c>
    </row>
    <row r="36" customFormat="false" ht="23.25" hidden="false" customHeight="true" outlineLevel="0" collapsed="false">
      <c r="A36" s="37" t="s">
        <v>81</v>
      </c>
      <c r="B36" s="33" t="n">
        <v>19</v>
      </c>
      <c r="C36" s="34" t="s">
        <v>101</v>
      </c>
      <c r="D36" s="41" t="s">
        <v>77</v>
      </c>
      <c r="E36" s="34" t="s">
        <v>98</v>
      </c>
    </row>
    <row r="37" customFormat="false" ht="23.25" hidden="false" customHeight="true" outlineLevel="0" collapsed="false">
      <c r="A37" s="38" t="s">
        <v>88</v>
      </c>
      <c r="B37" s="33" t="n">
        <v>20</v>
      </c>
      <c r="C37" s="34" t="s">
        <v>102</v>
      </c>
      <c r="D37" s="42" t="s">
        <v>103</v>
      </c>
      <c r="E37" s="34" t="s">
        <v>104</v>
      </c>
    </row>
  </sheetData>
  <mergeCells count="17">
    <mergeCell ref="B1:C1"/>
    <mergeCell ref="B2:C2"/>
    <mergeCell ref="B3:C3"/>
    <mergeCell ref="B4:C4"/>
    <mergeCell ref="B5:C5"/>
    <mergeCell ref="B6:C6"/>
    <mergeCell ref="B7:C7"/>
    <mergeCell ref="B8:C8"/>
    <mergeCell ref="B9:C9"/>
    <mergeCell ref="B10:C10"/>
    <mergeCell ref="B11:C11"/>
    <mergeCell ref="B12:C12"/>
    <mergeCell ref="A13:E13"/>
    <mergeCell ref="G13:H13"/>
    <mergeCell ref="C15:E15"/>
    <mergeCell ref="C30:E30"/>
    <mergeCell ref="C33:E33"/>
  </mergeCells>
  <conditionalFormatting sqref="D16:D36">
    <cfRule type="cellIs" priority="2" operator="equal" aboveAverage="0" equalAverage="0" bottom="0" percent="0" rank="0" text="" dxfId="1">
      <formula>"NO"</formula>
    </cfRule>
    <cfRule type="cellIs" priority="3" operator="equal" aboveAverage="0" equalAverage="0" bottom="0" percent="0" rank="0" text="" dxfId="2">
      <formula>"YES"</formula>
    </cfRule>
  </conditionalFormatting>
  <conditionalFormatting sqref="H19">
    <cfRule type="cellIs" priority="4" operator="greaterThanOrEqual" aboveAverage="0" equalAverage="0" bottom="0" percent="0" rank="0" text="" dxfId="3">
      <formula>1</formula>
    </cfRule>
    <cfRule type="cellIs" priority="5" operator="lessThan" aboveAverage="0" equalAverage="0" bottom="0" percent="0" rank="0" text="" dxfId="4">
      <formula>1</formula>
    </cfRule>
  </conditionalFormatting>
  <dataValidations count="3">
    <dataValidation allowBlank="true" errorStyle="stop" operator="between" showDropDown="false" showErrorMessage="false" showInputMessage="false" sqref="D16:D29" type="list">
      <formula1>"YES,NO"</formula1>
      <formula2>0</formula2>
    </dataValidation>
    <dataValidation allowBlank="true" errorStyle="stop" operator="between" showDropDown="false" showErrorMessage="false" showInputMessage="false" sqref="D31:D32" type="list">
      <formula1>"YES,NO"</formula1>
      <formula2>0</formula2>
    </dataValidation>
    <dataValidation allowBlank="true" errorStyle="stop" operator="between" showDropDown="false" showErrorMessage="false" showInputMessage="false" sqref="D34:D36" type="list">
      <formula1>"YES,NO"</formula1>
      <formula2>0</formula2>
    </dataValidation>
  </dataValidations>
  <hyperlinks>
    <hyperlink ref="E1" r:id="rId1" display="https://m.facebook.com/boat.lifestyle/"/>
    <hyperlink ref="B2" r:id="rId2" display="support@boat-lifestyle.com"/>
    <hyperlink ref="E2" r:id="rId3" display="https://x.com/RockWithboAt"/>
    <hyperlink ref="E3" r:id="rId4" display="https://linkedin.com/company/boat-lifestyle"/>
    <hyperlink ref="E4" r:id="rId5" display="https://youtube.com/@boat-lifestyle?si=tg5WT2eVHwtmGCpk"/>
    <hyperlink ref="E5" r:id="rId6" display="https://www.instagram.com/boat.nirvana/"/>
    <hyperlink ref="E6" r:id="rId7" display="N/A"/>
    <hyperlink ref="B10" r:id="rId8" display="https://www.boat-lifestyle.com/"/>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7"/>
  <sheetViews>
    <sheetView showFormulas="false" showGridLines="true" showRowColHeaders="true" showZeros="true" rightToLeft="false" tabSelected="false" showOutlineSymbols="true" defaultGridColor="true" view="normal" topLeftCell="D13" colorId="64" zoomScale="40" zoomScaleNormal="40" zoomScalePageLayoutView="100" workbookViewId="0">
      <selection pane="topLeft" activeCell="D37" activeCellId="0" sqref="D37"/>
    </sheetView>
  </sheetViews>
  <sheetFormatPr defaultColWidth="8.73046875" defaultRowHeight="13" customHeight="false" zeroHeight="false" outlineLevelRow="0" outlineLevelCol="0"/>
  <cols>
    <col collapsed="false" customWidth="true" hidden="false" outlineLevel="0" max="1" min="1" style="13" width="30.63"/>
    <col collapsed="false" customWidth="false" hidden="false" outlineLevel="0" max="2" min="2" style="13" width="8.73"/>
    <col collapsed="false" customWidth="true" hidden="false" outlineLevel="0" max="3" min="3" style="13" width="71"/>
    <col collapsed="false" customWidth="true" hidden="false" outlineLevel="0" max="4" min="4" style="13" width="47.09"/>
    <col collapsed="false" customWidth="true" hidden="false" outlineLevel="0" max="5" min="5" style="13" width="60.54"/>
    <col collapsed="false" customWidth="false" hidden="false" outlineLevel="0" max="16384" min="6" style="13" width="8.73"/>
  </cols>
  <sheetData>
    <row r="1" customFormat="false" ht="23.25" hidden="false" customHeight="true" outlineLevel="0" collapsed="false">
      <c r="A1" s="14" t="s">
        <v>13</v>
      </c>
      <c r="B1" s="15" t="s">
        <v>105</v>
      </c>
      <c r="C1" s="15"/>
      <c r="D1" s="16" t="s">
        <v>15</v>
      </c>
      <c r="E1" s="17" t="s">
        <v>106</v>
      </c>
    </row>
    <row r="2" customFormat="false" ht="23.25" hidden="false" customHeight="true" outlineLevel="0" collapsed="false">
      <c r="A2" s="14" t="s">
        <v>17</v>
      </c>
      <c r="B2" s="43" t="s">
        <v>107</v>
      </c>
      <c r="C2" s="43"/>
      <c r="D2" s="16" t="s">
        <v>19</v>
      </c>
      <c r="E2" s="19" t="s">
        <v>108</v>
      </c>
    </row>
    <row r="3" customFormat="false" ht="23.25" hidden="false" customHeight="true" outlineLevel="0" collapsed="false">
      <c r="A3" s="20" t="s">
        <v>21</v>
      </c>
      <c r="B3" s="15" t="s">
        <v>109</v>
      </c>
      <c r="C3" s="15"/>
      <c r="D3" s="16" t="s">
        <v>23</v>
      </c>
      <c r="E3" s="19" t="s">
        <v>110</v>
      </c>
    </row>
    <row r="4" customFormat="false" ht="23.25" hidden="false" customHeight="true" outlineLevel="0" collapsed="false">
      <c r="A4" s="16" t="s">
        <v>25</v>
      </c>
      <c r="B4" s="15" t="s">
        <v>111</v>
      </c>
      <c r="C4" s="15"/>
      <c r="D4" s="16" t="s">
        <v>27</v>
      </c>
      <c r="E4" s="19" t="s">
        <v>112</v>
      </c>
    </row>
    <row r="5" customFormat="false" ht="23.25" hidden="false" customHeight="true" outlineLevel="0" collapsed="false">
      <c r="A5" s="16" t="s">
        <v>29</v>
      </c>
      <c r="B5" s="15" t="s">
        <v>113</v>
      </c>
      <c r="C5" s="15"/>
      <c r="D5" s="16" t="s">
        <v>31</v>
      </c>
      <c r="E5" s="19" t="s">
        <v>114</v>
      </c>
    </row>
    <row r="6" customFormat="false" ht="23.25" hidden="false" customHeight="true" outlineLevel="0" collapsed="false">
      <c r="A6" s="16" t="s">
        <v>33</v>
      </c>
      <c r="B6" s="15" t="s">
        <v>115</v>
      </c>
      <c r="C6" s="15"/>
      <c r="D6" s="16" t="s">
        <v>35</v>
      </c>
      <c r="E6" s="23" t="s">
        <v>36</v>
      </c>
    </row>
    <row r="7" customFormat="false" ht="23.25" hidden="false" customHeight="true" outlineLevel="0" collapsed="false">
      <c r="A7" s="16" t="s">
        <v>37</v>
      </c>
      <c r="B7" s="15" t="n">
        <v>122003</v>
      </c>
      <c r="C7" s="15"/>
      <c r="D7" s="16" t="s">
        <v>38</v>
      </c>
      <c r="E7" s="22" t="s">
        <v>116</v>
      </c>
    </row>
    <row r="8" customFormat="false" ht="23.25" hidden="false" customHeight="true" outlineLevel="0" collapsed="false">
      <c r="A8" s="16" t="s">
        <v>40</v>
      </c>
      <c r="B8" s="15" t="s">
        <v>117</v>
      </c>
      <c r="C8" s="15"/>
      <c r="D8" s="16" t="s">
        <v>42</v>
      </c>
      <c r="E8" s="44" t="s">
        <v>118</v>
      </c>
    </row>
    <row r="9" customFormat="false" ht="23.25" hidden="false" customHeight="true" outlineLevel="0" collapsed="false">
      <c r="A9" s="16" t="s">
        <v>44</v>
      </c>
      <c r="B9" s="15" t="s">
        <v>119</v>
      </c>
      <c r="C9" s="15"/>
      <c r="D9" s="16" t="s">
        <v>46</v>
      </c>
      <c r="E9" s="16" t="s">
        <v>120</v>
      </c>
    </row>
    <row r="10" customFormat="false" ht="23.25" hidden="false" customHeight="true" outlineLevel="0" collapsed="false">
      <c r="A10" s="16" t="s">
        <v>48</v>
      </c>
      <c r="B10" s="18" t="s">
        <v>121</v>
      </c>
      <c r="C10" s="18"/>
      <c r="D10" s="16" t="s">
        <v>50</v>
      </c>
      <c r="E10" s="23" t="s">
        <v>122</v>
      </c>
    </row>
    <row r="11" customFormat="false" ht="23.25" hidden="false" customHeight="true" outlineLevel="0" collapsed="false">
      <c r="A11" s="16" t="s">
        <v>52</v>
      </c>
      <c r="B11" s="15" t="s">
        <v>123</v>
      </c>
      <c r="C11" s="15"/>
      <c r="D11" s="16" t="s">
        <v>54</v>
      </c>
      <c r="E11" s="22" t="n">
        <v>2014</v>
      </c>
    </row>
    <row r="12" customFormat="false" ht="23.25" hidden="false" customHeight="true" outlineLevel="0" collapsed="false">
      <c r="A12" s="16"/>
      <c r="B12" s="15"/>
      <c r="C12" s="15"/>
      <c r="D12" s="16"/>
      <c r="E12" s="16"/>
    </row>
    <row r="13" customFormat="false" ht="23.25" hidden="false" customHeight="true" outlineLevel="0" collapsed="false">
      <c r="A13" s="25" t="s">
        <v>56</v>
      </c>
      <c r="B13" s="25"/>
      <c r="C13" s="25"/>
      <c r="D13" s="25"/>
      <c r="E13" s="25"/>
      <c r="G13" s="26" t="s">
        <v>57</v>
      </c>
      <c r="H13" s="26"/>
    </row>
    <row r="14" customFormat="false" ht="23.25" hidden="false" customHeight="true" outlineLevel="0" collapsed="false">
      <c r="A14" s="27" t="s">
        <v>58</v>
      </c>
      <c r="B14" s="28" t="s">
        <v>59</v>
      </c>
      <c r="C14" s="28" t="s">
        <v>60</v>
      </c>
      <c r="D14" s="28" t="s">
        <v>61</v>
      </c>
      <c r="E14" s="28" t="s">
        <v>62</v>
      </c>
      <c r="G14" s="4" t="s">
        <v>63</v>
      </c>
      <c r="H14" s="29" t="n">
        <f aca="false">COUNTA(C16:C36)-3</f>
        <v>18</v>
      </c>
    </row>
    <row r="15" customFormat="false" ht="23.25" hidden="false" customHeight="true" outlineLevel="0" collapsed="false">
      <c r="A15" s="30"/>
      <c r="B15" s="30"/>
      <c r="C15" s="31" t="s">
        <v>64</v>
      </c>
      <c r="D15" s="31"/>
      <c r="E15" s="31"/>
      <c r="G15" s="4" t="s">
        <v>65</v>
      </c>
      <c r="H15" s="29" t="n">
        <f aca="false">COUNTIF(D16:D36,"YES")+COUNTIF(D16:D36,"NO")</f>
        <v>19</v>
      </c>
    </row>
    <row r="16" customFormat="false" ht="23.25" hidden="false" customHeight="true" outlineLevel="0" collapsed="false">
      <c r="A16" s="32" t="s">
        <v>66</v>
      </c>
      <c r="B16" s="33" t="n">
        <v>1</v>
      </c>
      <c r="C16" s="34" t="s">
        <v>67</v>
      </c>
      <c r="D16" s="35" t="s">
        <v>68</v>
      </c>
      <c r="E16" s="34" t="s">
        <v>69</v>
      </c>
      <c r="G16" s="4" t="s">
        <v>70</v>
      </c>
      <c r="H16" s="29" t="n">
        <f aca="false">COUNTIF(D16:D36,"YES")</f>
        <v>10</v>
      </c>
    </row>
    <row r="17" customFormat="false" ht="23.25" hidden="false" customHeight="true" outlineLevel="0" collapsed="false">
      <c r="A17" s="32" t="s">
        <v>66</v>
      </c>
      <c r="B17" s="33" t="n">
        <v>2</v>
      </c>
      <c r="C17" s="34" t="s">
        <v>71</v>
      </c>
      <c r="D17" s="35" t="s">
        <v>68</v>
      </c>
      <c r="E17" s="34" t="s">
        <v>69</v>
      </c>
      <c r="G17" s="4" t="s">
        <v>4</v>
      </c>
      <c r="H17" s="29" t="n">
        <f aca="false">COUNTIF(D16:D36,"NO")</f>
        <v>9</v>
      </c>
    </row>
    <row r="18" customFormat="false" ht="23.25" hidden="false" customHeight="true" outlineLevel="0" collapsed="false">
      <c r="A18" s="32" t="s">
        <v>66</v>
      </c>
      <c r="B18" s="33" t="n">
        <v>3</v>
      </c>
      <c r="C18" s="34" t="s">
        <v>72</v>
      </c>
      <c r="D18" s="35" t="s">
        <v>68</v>
      </c>
      <c r="E18" s="34" t="s">
        <v>69</v>
      </c>
      <c r="G18" s="4" t="s">
        <v>73</v>
      </c>
      <c r="H18" s="29" t="n">
        <f aca="false">_xlfn.countifs(A16:A36,"HIGH",D16:D36,"YES")</f>
        <v>0</v>
      </c>
    </row>
    <row r="19" customFormat="false" ht="23.25" hidden="false" customHeight="true" outlineLevel="0" collapsed="false">
      <c r="A19" s="32" t="s">
        <v>66</v>
      </c>
      <c r="B19" s="33" t="n">
        <v>4</v>
      </c>
      <c r="C19" s="34" t="s">
        <v>74</v>
      </c>
      <c r="D19" s="35" t="s">
        <v>68</v>
      </c>
      <c r="E19" s="34" t="s">
        <v>69</v>
      </c>
      <c r="G19" s="4" t="s">
        <v>6</v>
      </c>
      <c r="H19" s="36" t="n">
        <f aca="false">IF(H15=0,0,H16/H15)</f>
        <v>0.526315789473684</v>
      </c>
    </row>
    <row r="20" customFormat="false" ht="23.25" hidden="false" customHeight="true" outlineLevel="0" collapsed="false">
      <c r="A20" s="32" t="s">
        <v>66</v>
      </c>
      <c r="B20" s="33" t="n">
        <v>5</v>
      </c>
      <c r="C20" s="34" t="s">
        <v>75</v>
      </c>
      <c r="D20" s="35" t="s">
        <v>68</v>
      </c>
      <c r="E20" s="34" t="s">
        <v>69</v>
      </c>
    </row>
    <row r="21" customFormat="false" ht="23.25" hidden="false" customHeight="true" outlineLevel="0" collapsed="false">
      <c r="A21" s="32" t="s">
        <v>66</v>
      </c>
      <c r="B21" s="33" t="n">
        <v>6</v>
      </c>
      <c r="C21" s="34" t="s">
        <v>76</v>
      </c>
      <c r="D21" s="35" t="s">
        <v>68</v>
      </c>
      <c r="E21" s="34" t="s">
        <v>69</v>
      </c>
    </row>
    <row r="22" customFormat="false" ht="23.25" hidden="false" customHeight="true" outlineLevel="0" collapsed="false">
      <c r="A22" s="32" t="s">
        <v>66</v>
      </c>
      <c r="B22" s="33" t="n">
        <v>7</v>
      </c>
      <c r="C22" s="34" t="s">
        <v>78</v>
      </c>
      <c r="D22" s="35" t="s">
        <v>68</v>
      </c>
      <c r="E22" s="34" t="s">
        <v>69</v>
      </c>
    </row>
    <row r="23" customFormat="false" ht="23.25" hidden="false" customHeight="true" outlineLevel="0" collapsed="false">
      <c r="A23" s="32" t="s">
        <v>66</v>
      </c>
      <c r="B23" s="33" t="n">
        <v>8</v>
      </c>
      <c r="C23" s="34" t="s">
        <v>79</v>
      </c>
      <c r="D23" s="35" t="s">
        <v>68</v>
      </c>
      <c r="E23" s="34" t="s">
        <v>69</v>
      </c>
    </row>
    <row r="24" customFormat="false" ht="23.25" hidden="false" customHeight="true" outlineLevel="0" collapsed="false">
      <c r="A24" s="32" t="s">
        <v>66</v>
      </c>
      <c r="B24" s="33" t="n">
        <v>9</v>
      </c>
      <c r="C24" s="34" t="s">
        <v>80</v>
      </c>
      <c r="D24" s="35" t="s">
        <v>68</v>
      </c>
      <c r="E24" s="34" t="s">
        <v>69</v>
      </c>
    </row>
    <row r="25" customFormat="false" ht="23.25" hidden="false" customHeight="true" outlineLevel="0" collapsed="false">
      <c r="A25" s="37" t="s">
        <v>81</v>
      </c>
      <c r="B25" s="33" t="n">
        <v>10</v>
      </c>
      <c r="C25" s="34" t="s">
        <v>82</v>
      </c>
      <c r="D25" s="35" t="s">
        <v>68</v>
      </c>
      <c r="E25" s="34" t="s">
        <v>83</v>
      </c>
    </row>
    <row r="26" customFormat="false" ht="23.25" hidden="false" customHeight="true" outlineLevel="0" collapsed="false">
      <c r="A26" s="37" t="s">
        <v>81</v>
      </c>
      <c r="B26" s="33" t="n">
        <v>11</v>
      </c>
      <c r="C26" s="34" t="s">
        <v>84</v>
      </c>
      <c r="D26" s="35" t="s">
        <v>77</v>
      </c>
      <c r="E26" s="34" t="s">
        <v>83</v>
      </c>
    </row>
    <row r="27" customFormat="false" ht="23.25" hidden="false" customHeight="true" outlineLevel="0" collapsed="false">
      <c r="A27" s="37" t="s">
        <v>81</v>
      </c>
      <c r="B27" s="33" t="n">
        <v>12</v>
      </c>
      <c r="C27" s="34" t="s">
        <v>85</v>
      </c>
      <c r="D27" s="35" t="s">
        <v>77</v>
      </c>
      <c r="E27" s="34" t="s">
        <v>69</v>
      </c>
    </row>
    <row r="28" customFormat="false" ht="23.25" hidden="false" customHeight="true" outlineLevel="0" collapsed="false">
      <c r="A28" s="37" t="s">
        <v>81</v>
      </c>
      <c r="B28" s="33" t="n">
        <v>13</v>
      </c>
      <c r="C28" s="34" t="s">
        <v>86</v>
      </c>
      <c r="D28" s="35" t="s">
        <v>77</v>
      </c>
      <c r="E28" s="34" t="s">
        <v>87</v>
      </c>
    </row>
    <row r="29" customFormat="false" ht="23.25" hidden="false" customHeight="true" outlineLevel="0" collapsed="false">
      <c r="A29" s="38" t="s">
        <v>88</v>
      </c>
      <c r="B29" s="33" t="n">
        <v>14</v>
      </c>
      <c r="C29" s="34" t="s">
        <v>89</v>
      </c>
      <c r="D29" s="35" t="s">
        <v>77</v>
      </c>
      <c r="E29" s="39" t="s">
        <v>90</v>
      </c>
    </row>
    <row r="30" customFormat="false" ht="23.25" hidden="false" customHeight="true" outlineLevel="0" collapsed="false">
      <c r="A30" s="30"/>
      <c r="B30" s="30"/>
      <c r="C30" s="40" t="s">
        <v>91</v>
      </c>
      <c r="D30" s="40"/>
      <c r="E30" s="40"/>
    </row>
    <row r="31" customFormat="false" ht="23.25" hidden="false" customHeight="true" outlineLevel="0" collapsed="false">
      <c r="A31" s="32" t="s">
        <v>66</v>
      </c>
      <c r="B31" s="33" t="n">
        <v>15</v>
      </c>
      <c r="C31" s="34" t="s">
        <v>92</v>
      </c>
      <c r="D31" s="41" t="s">
        <v>77</v>
      </c>
      <c r="E31" s="34" t="s">
        <v>93</v>
      </c>
    </row>
    <row r="32" customFormat="false" ht="23.25" hidden="false" customHeight="true" outlineLevel="0" collapsed="false">
      <c r="A32" s="32" t="s">
        <v>66</v>
      </c>
      <c r="B32" s="33" t="n">
        <v>16</v>
      </c>
      <c r="C32" s="34" t="s">
        <v>94</v>
      </c>
      <c r="D32" s="41" t="s">
        <v>77</v>
      </c>
      <c r="E32" s="34" t="s">
        <v>95</v>
      </c>
    </row>
    <row r="33" customFormat="false" ht="23.25" hidden="false" customHeight="true" outlineLevel="0" collapsed="false">
      <c r="A33" s="30"/>
      <c r="B33" s="30"/>
      <c r="C33" s="40" t="s">
        <v>96</v>
      </c>
      <c r="D33" s="40"/>
      <c r="E33" s="40"/>
    </row>
    <row r="34" customFormat="false" ht="23.25" hidden="false" customHeight="true" outlineLevel="0" collapsed="false">
      <c r="A34" s="37" t="s">
        <v>81</v>
      </c>
      <c r="B34" s="33" t="n">
        <v>17</v>
      </c>
      <c r="C34" s="34" t="s">
        <v>97</v>
      </c>
      <c r="D34" s="41" t="s">
        <v>77</v>
      </c>
      <c r="E34" s="34" t="s">
        <v>98</v>
      </c>
    </row>
    <row r="35" customFormat="false" ht="23.25" hidden="false" customHeight="true" outlineLevel="0" collapsed="false">
      <c r="A35" s="37" t="s">
        <v>81</v>
      </c>
      <c r="B35" s="33" t="n">
        <v>18</v>
      </c>
      <c r="C35" s="34" t="s">
        <v>99</v>
      </c>
      <c r="D35" s="41" t="s">
        <v>77</v>
      </c>
      <c r="E35" s="39" t="s">
        <v>100</v>
      </c>
    </row>
    <row r="36" customFormat="false" ht="23.25" hidden="false" customHeight="true" outlineLevel="0" collapsed="false">
      <c r="A36" s="37" t="s">
        <v>81</v>
      </c>
      <c r="B36" s="33" t="n">
        <v>19</v>
      </c>
      <c r="C36" s="34" t="s">
        <v>101</v>
      </c>
      <c r="D36" s="41" t="s">
        <v>77</v>
      </c>
      <c r="E36" s="34" t="s">
        <v>98</v>
      </c>
    </row>
    <row r="37" customFormat="false" ht="23.25" hidden="false" customHeight="true" outlineLevel="0" collapsed="false">
      <c r="A37" s="38" t="s">
        <v>88</v>
      </c>
      <c r="B37" s="33" t="n">
        <v>20</v>
      </c>
      <c r="C37" s="34" t="s">
        <v>102</v>
      </c>
      <c r="D37" s="42" t="s">
        <v>103</v>
      </c>
      <c r="E37" s="34" t="s">
        <v>104</v>
      </c>
    </row>
  </sheetData>
  <mergeCells count="17">
    <mergeCell ref="B1:C1"/>
    <mergeCell ref="B2:C2"/>
    <mergeCell ref="B3:C3"/>
    <mergeCell ref="B4:C4"/>
    <mergeCell ref="B5:C5"/>
    <mergeCell ref="B6:C6"/>
    <mergeCell ref="B7:C7"/>
    <mergeCell ref="B8:C8"/>
    <mergeCell ref="B9:C9"/>
    <mergeCell ref="B10:C10"/>
    <mergeCell ref="B11:C11"/>
    <mergeCell ref="B12:C12"/>
    <mergeCell ref="A13:E13"/>
    <mergeCell ref="G13:H13"/>
    <mergeCell ref="C15:E15"/>
    <mergeCell ref="C30:E30"/>
    <mergeCell ref="C33:E33"/>
  </mergeCells>
  <conditionalFormatting sqref="D16:D36">
    <cfRule type="cellIs" priority="2" operator="equal" aboveAverage="0" equalAverage="0" bottom="0" percent="0" rank="0" text="" dxfId="5">
      <formula>"NO"</formula>
    </cfRule>
    <cfRule type="cellIs" priority="3" operator="equal" aboveAverage="0" equalAverage="0" bottom="0" percent="0" rank="0" text="" dxfId="6">
      <formula>"YES"</formula>
    </cfRule>
  </conditionalFormatting>
  <conditionalFormatting sqref="H19">
    <cfRule type="cellIs" priority="4" operator="greaterThanOrEqual" aboveAverage="0" equalAverage="0" bottom="0" percent="0" rank="0" text="" dxfId="7">
      <formula>1</formula>
    </cfRule>
    <cfRule type="cellIs" priority="5" operator="lessThan" aboveAverage="0" equalAverage="0" bottom="0" percent="0" rank="0" text="" dxfId="8">
      <formula>1</formula>
    </cfRule>
  </conditionalFormatting>
  <dataValidations count="3">
    <dataValidation allowBlank="true" errorStyle="stop" operator="between" showDropDown="false" showErrorMessage="false" showInputMessage="false" sqref="D16:D29" type="list">
      <formula1>"YES,NO"</formula1>
      <formula2>0</formula2>
    </dataValidation>
    <dataValidation allowBlank="true" errorStyle="stop" operator="between" showDropDown="false" showErrorMessage="false" showInputMessage="false" sqref="D31:D32" type="list">
      <formula1>"YES,NO"</formula1>
      <formula2>0</formula2>
    </dataValidation>
    <dataValidation allowBlank="true" errorStyle="stop" operator="between" showDropDown="false" showErrorMessage="false" showInputMessage="false" sqref="D34:D36" type="list">
      <formula1>"YES,NO"</formula1>
      <formula2>0</formula2>
    </dataValidation>
  </dataValidations>
  <hyperlinks>
    <hyperlink ref="E1" r:id="rId1" display="https://facebook.com/Gonoise"/>
    <hyperlink ref="B2" r:id="rId2" display="support@goniose.com"/>
    <hyperlink ref="E2" r:id="rId3" display="https://x.com/gonoise"/>
    <hyperlink ref="E3" r:id="rId4" display="https://linkedin.com/company/gonoise-com"/>
    <hyperlink ref="E4" r:id="rId5" display="https://youtube.com/@gonoise_official?si=eGW94LEYULxlsRha"/>
    <hyperlink ref="E5" r:id="rId6" display="https://www.instagram.com/go_noise/"/>
    <hyperlink ref="B10" r:id="rId7" display="https://www.gonoise.com"/>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7"/>
  <sheetViews>
    <sheetView showFormulas="false" showGridLines="true" showRowColHeaders="true" showZeros="true" rightToLeft="false" tabSelected="false" showOutlineSymbols="true" defaultGridColor="true" view="normal" topLeftCell="C1" colorId="64" zoomScale="33" zoomScaleNormal="33" zoomScalePageLayoutView="100" workbookViewId="0">
      <selection pane="topLeft" activeCell="D37" activeCellId="0" sqref="D37"/>
    </sheetView>
  </sheetViews>
  <sheetFormatPr defaultColWidth="8.73046875" defaultRowHeight="13" customHeight="false" zeroHeight="false" outlineLevelRow="0" outlineLevelCol="0"/>
  <cols>
    <col collapsed="false" customWidth="true" hidden="false" outlineLevel="0" max="1" min="1" style="13" width="30.63"/>
    <col collapsed="false" customWidth="false" hidden="false" outlineLevel="0" max="2" min="2" style="13" width="8.73"/>
    <col collapsed="false" customWidth="true" hidden="false" outlineLevel="0" max="3" min="3" style="13" width="71"/>
    <col collapsed="false" customWidth="true" hidden="false" outlineLevel="0" max="4" min="4" style="13" width="47.09"/>
    <col collapsed="false" customWidth="true" hidden="false" outlineLevel="0" max="5" min="5" style="13" width="60.54"/>
    <col collapsed="false" customWidth="false" hidden="false" outlineLevel="0" max="16384" min="6" style="13" width="8.73"/>
  </cols>
  <sheetData>
    <row r="1" customFormat="false" ht="23.25" hidden="false" customHeight="true" outlineLevel="0" collapsed="false">
      <c r="A1" s="14" t="s">
        <v>13</v>
      </c>
      <c r="B1" s="15" t="s">
        <v>124</v>
      </c>
      <c r="C1" s="15"/>
      <c r="D1" s="16" t="s">
        <v>15</v>
      </c>
      <c r="E1" s="17" t="s">
        <v>125</v>
      </c>
    </row>
    <row r="2" customFormat="false" ht="23.25" hidden="false" customHeight="true" outlineLevel="0" collapsed="false">
      <c r="A2" s="14" t="s">
        <v>17</v>
      </c>
      <c r="B2" s="43" t="s">
        <v>126</v>
      </c>
      <c r="C2" s="43"/>
      <c r="D2" s="16" t="s">
        <v>19</v>
      </c>
      <c r="E2" s="19" t="s">
        <v>36</v>
      </c>
    </row>
    <row r="3" customFormat="false" ht="23.25" hidden="false" customHeight="true" outlineLevel="0" collapsed="false">
      <c r="A3" s="20" t="s">
        <v>21</v>
      </c>
      <c r="B3" s="15" t="s">
        <v>127</v>
      </c>
      <c r="C3" s="15"/>
      <c r="D3" s="16" t="s">
        <v>23</v>
      </c>
      <c r="E3" s="19" t="s">
        <v>128</v>
      </c>
    </row>
    <row r="4" customFormat="false" ht="23.25" hidden="false" customHeight="true" outlineLevel="0" collapsed="false">
      <c r="A4" s="16" t="s">
        <v>25</v>
      </c>
      <c r="B4" s="15" t="s">
        <v>129</v>
      </c>
      <c r="C4" s="15"/>
      <c r="D4" s="16" t="s">
        <v>27</v>
      </c>
      <c r="E4" s="45" t="s">
        <v>130</v>
      </c>
    </row>
    <row r="5" customFormat="false" ht="23.25" hidden="false" customHeight="true" outlineLevel="0" collapsed="false">
      <c r="A5" s="16" t="s">
        <v>29</v>
      </c>
      <c r="B5" s="15" t="s">
        <v>113</v>
      </c>
      <c r="C5" s="15"/>
      <c r="D5" s="16" t="s">
        <v>31</v>
      </c>
      <c r="E5" s="45" t="s">
        <v>131</v>
      </c>
    </row>
    <row r="6" customFormat="false" ht="23.25" hidden="false" customHeight="true" outlineLevel="0" collapsed="false">
      <c r="A6" s="16" t="s">
        <v>33</v>
      </c>
      <c r="B6" s="15" t="s">
        <v>132</v>
      </c>
      <c r="C6" s="15"/>
      <c r="D6" s="16" t="s">
        <v>35</v>
      </c>
      <c r="E6" s="23" t="s">
        <v>36</v>
      </c>
    </row>
    <row r="7" customFormat="false" ht="23.25" hidden="false" customHeight="true" outlineLevel="0" collapsed="false">
      <c r="A7" s="16" t="s">
        <v>37</v>
      </c>
      <c r="B7" s="15" t="n">
        <v>110001</v>
      </c>
      <c r="C7" s="15"/>
      <c r="D7" s="16" t="s">
        <v>38</v>
      </c>
      <c r="E7" s="22" t="s">
        <v>133</v>
      </c>
    </row>
    <row r="8" customFormat="false" ht="23.25" hidden="false" customHeight="true" outlineLevel="0" collapsed="false">
      <c r="A8" s="16" t="s">
        <v>40</v>
      </c>
      <c r="B8" s="15" t="s">
        <v>134</v>
      </c>
      <c r="C8" s="15"/>
      <c r="D8" s="16" t="s">
        <v>42</v>
      </c>
      <c r="E8" s="16" t="s">
        <v>135</v>
      </c>
    </row>
    <row r="9" customFormat="false" ht="23.25" hidden="false" customHeight="true" outlineLevel="0" collapsed="false">
      <c r="A9" s="16" t="s">
        <v>44</v>
      </c>
      <c r="B9" s="15" t="s">
        <v>136</v>
      </c>
      <c r="C9" s="15"/>
      <c r="D9" s="16" t="s">
        <v>46</v>
      </c>
      <c r="E9" s="16" t="s">
        <v>137</v>
      </c>
    </row>
    <row r="10" customFormat="false" ht="23.25" hidden="false" customHeight="true" outlineLevel="0" collapsed="false">
      <c r="A10" s="16" t="s">
        <v>48</v>
      </c>
      <c r="B10" s="18" t="s">
        <v>138</v>
      </c>
      <c r="C10" s="18"/>
      <c r="D10" s="16" t="s">
        <v>50</v>
      </c>
      <c r="E10" s="23" t="s">
        <v>122</v>
      </c>
    </row>
    <row r="11" customFormat="false" ht="23.25" hidden="false" customHeight="true" outlineLevel="0" collapsed="false">
      <c r="A11" s="16" t="s">
        <v>52</v>
      </c>
      <c r="B11" s="15" t="s">
        <v>53</v>
      </c>
      <c r="C11" s="15"/>
      <c r="D11" s="16" t="s">
        <v>54</v>
      </c>
      <c r="E11" s="46" t="s">
        <v>139</v>
      </c>
    </row>
    <row r="12" customFormat="false" ht="23.25" hidden="false" customHeight="true" outlineLevel="0" collapsed="false">
      <c r="A12" s="16"/>
      <c r="B12" s="15"/>
      <c r="C12" s="15"/>
      <c r="D12" s="16"/>
      <c r="E12" s="16"/>
    </row>
    <row r="13" customFormat="false" ht="23.25" hidden="false" customHeight="true" outlineLevel="0" collapsed="false">
      <c r="A13" s="25" t="s">
        <v>56</v>
      </c>
      <c r="B13" s="25"/>
      <c r="C13" s="25"/>
      <c r="D13" s="25"/>
      <c r="E13" s="25"/>
      <c r="G13" s="26" t="s">
        <v>57</v>
      </c>
      <c r="H13" s="26"/>
    </row>
    <row r="14" customFormat="false" ht="23.25" hidden="false" customHeight="true" outlineLevel="0" collapsed="false">
      <c r="A14" s="27" t="s">
        <v>58</v>
      </c>
      <c r="B14" s="28" t="s">
        <v>59</v>
      </c>
      <c r="C14" s="28" t="s">
        <v>60</v>
      </c>
      <c r="D14" s="28" t="s">
        <v>61</v>
      </c>
      <c r="E14" s="28" t="s">
        <v>62</v>
      </c>
      <c r="G14" s="4" t="s">
        <v>63</v>
      </c>
      <c r="H14" s="29" t="n">
        <f aca="false">COUNTA(C16:C36)-3</f>
        <v>18</v>
      </c>
    </row>
    <row r="15" customFormat="false" ht="23.25" hidden="false" customHeight="true" outlineLevel="0" collapsed="false">
      <c r="A15" s="30"/>
      <c r="B15" s="30"/>
      <c r="C15" s="31" t="s">
        <v>64</v>
      </c>
      <c r="D15" s="31"/>
      <c r="E15" s="31"/>
      <c r="G15" s="4" t="s">
        <v>65</v>
      </c>
      <c r="H15" s="29" t="n">
        <f aca="false">COUNTIF(D16:D36,"YES")+COUNTIF(D16:D36,"NO")</f>
        <v>19</v>
      </c>
    </row>
    <row r="16" customFormat="false" ht="23.25" hidden="false" customHeight="true" outlineLevel="0" collapsed="false">
      <c r="A16" s="32" t="s">
        <v>66</v>
      </c>
      <c r="B16" s="33" t="n">
        <v>1</v>
      </c>
      <c r="C16" s="34" t="s">
        <v>67</v>
      </c>
      <c r="D16" s="35" t="s">
        <v>68</v>
      </c>
      <c r="E16" s="34" t="s">
        <v>69</v>
      </c>
      <c r="G16" s="4" t="s">
        <v>70</v>
      </c>
      <c r="H16" s="29" t="n">
        <f aca="false">COUNTIF(D16:D36,"YES")</f>
        <v>9</v>
      </c>
    </row>
    <row r="17" customFormat="false" ht="23.25" hidden="false" customHeight="true" outlineLevel="0" collapsed="false">
      <c r="A17" s="32" t="s">
        <v>66</v>
      </c>
      <c r="B17" s="33" t="n">
        <v>2</v>
      </c>
      <c r="C17" s="34" t="s">
        <v>71</v>
      </c>
      <c r="D17" s="35" t="s">
        <v>68</v>
      </c>
      <c r="E17" s="34" t="s">
        <v>69</v>
      </c>
      <c r="G17" s="4" t="s">
        <v>4</v>
      </c>
      <c r="H17" s="29" t="n">
        <f aca="false">COUNTIF(D16:D36,"NO")</f>
        <v>10</v>
      </c>
    </row>
    <row r="18" customFormat="false" ht="23.25" hidden="false" customHeight="true" outlineLevel="0" collapsed="false">
      <c r="A18" s="32" t="s">
        <v>66</v>
      </c>
      <c r="B18" s="33" t="n">
        <v>3</v>
      </c>
      <c r="C18" s="34" t="s">
        <v>72</v>
      </c>
      <c r="D18" s="35" t="s">
        <v>68</v>
      </c>
      <c r="E18" s="34" t="s">
        <v>69</v>
      </c>
      <c r="G18" s="4" t="s">
        <v>73</v>
      </c>
      <c r="H18" s="29" t="n">
        <f aca="false">_xlfn.countifs(A16:A36,"HIGH",D16:D36,"YES")</f>
        <v>1</v>
      </c>
    </row>
    <row r="19" customFormat="false" ht="23.25" hidden="false" customHeight="true" outlineLevel="0" collapsed="false">
      <c r="A19" s="32" t="s">
        <v>66</v>
      </c>
      <c r="B19" s="33" t="n">
        <v>4</v>
      </c>
      <c r="C19" s="34" t="s">
        <v>74</v>
      </c>
      <c r="D19" s="35" t="s">
        <v>68</v>
      </c>
      <c r="E19" s="34" t="s">
        <v>69</v>
      </c>
      <c r="G19" s="4" t="s">
        <v>6</v>
      </c>
      <c r="H19" s="36" t="n">
        <f aca="false">IF(H15=0,0,H16/H15)</f>
        <v>0.473684210526316</v>
      </c>
    </row>
    <row r="20" customFormat="false" ht="23.25" hidden="false" customHeight="true" outlineLevel="0" collapsed="false">
      <c r="A20" s="32" t="s">
        <v>66</v>
      </c>
      <c r="B20" s="33" t="n">
        <v>5</v>
      </c>
      <c r="C20" s="34" t="s">
        <v>75</v>
      </c>
      <c r="D20" s="35" t="s">
        <v>68</v>
      </c>
      <c r="E20" s="34" t="s">
        <v>69</v>
      </c>
    </row>
    <row r="21" customFormat="false" ht="23.25" hidden="false" customHeight="true" outlineLevel="0" collapsed="false">
      <c r="A21" s="32" t="s">
        <v>66</v>
      </c>
      <c r="B21" s="33" t="n">
        <v>6</v>
      </c>
      <c r="C21" s="34" t="s">
        <v>76</v>
      </c>
      <c r="D21" s="35" t="s">
        <v>68</v>
      </c>
      <c r="E21" s="34" t="s">
        <v>69</v>
      </c>
    </row>
    <row r="22" customFormat="false" ht="23.25" hidden="false" customHeight="true" outlineLevel="0" collapsed="false">
      <c r="A22" s="32" t="s">
        <v>66</v>
      </c>
      <c r="B22" s="33" t="n">
        <v>7</v>
      </c>
      <c r="C22" s="34" t="s">
        <v>78</v>
      </c>
      <c r="D22" s="35" t="s">
        <v>68</v>
      </c>
      <c r="E22" s="34" t="s">
        <v>69</v>
      </c>
    </row>
    <row r="23" customFormat="false" ht="23.25" hidden="false" customHeight="true" outlineLevel="0" collapsed="false">
      <c r="A23" s="32" t="s">
        <v>66</v>
      </c>
      <c r="B23" s="33" t="n">
        <v>8</v>
      </c>
      <c r="C23" s="34" t="s">
        <v>79</v>
      </c>
      <c r="D23" s="35" t="s">
        <v>68</v>
      </c>
      <c r="E23" s="34" t="s">
        <v>69</v>
      </c>
    </row>
    <row r="24" customFormat="false" ht="23.25" hidden="false" customHeight="true" outlineLevel="0" collapsed="false">
      <c r="A24" s="32" t="s">
        <v>66</v>
      </c>
      <c r="B24" s="33" t="n">
        <v>9</v>
      </c>
      <c r="C24" s="34" t="s">
        <v>80</v>
      </c>
      <c r="D24" s="35" t="s">
        <v>77</v>
      </c>
      <c r="E24" s="34" t="s">
        <v>69</v>
      </c>
    </row>
    <row r="25" customFormat="false" ht="23.25" hidden="false" customHeight="true" outlineLevel="0" collapsed="false">
      <c r="A25" s="37" t="s">
        <v>81</v>
      </c>
      <c r="B25" s="33" t="n">
        <v>10</v>
      </c>
      <c r="C25" s="34" t="s">
        <v>82</v>
      </c>
      <c r="D25" s="35" t="s">
        <v>77</v>
      </c>
      <c r="E25" s="34" t="s">
        <v>83</v>
      </c>
    </row>
    <row r="26" customFormat="false" ht="23.25" hidden="false" customHeight="true" outlineLevel="0" collapsed="false">
      <c r="A26" s="37" t="s">
        <v>81</v>
      </c>
      <c r="B26" s="33" t="n">
        <v>11</v>
      </c>
      <c r="C26" s="34" t="s">
        <v>84</v>
      </c>
      <c r="D26" s="35" t="s">
        <v>77</v>
      </c>
      <c r="E26" s="34" t="s">
        <v>83</v>
      </c>
    </row>
    <row r="27" customFormat="false" ht="23.25" hidden="false" customHeight="true" outlineLevel="0" collapsed="false">
      <c r="A27" s="37" t="s">
        <v>81</v>
      </c>
      <c r="B27" s="33" t="n">
        <v>12</v>
      </c>
      <c r="C27" s="34" t="s">
        <v>85</v>
      </c>
      <c r="D27" s="35" t="s">
        <v>77</v>
      </c>
      <c r="E27" s="34" t="s">
        <v>69</v>
      </c>
    </row>
    <row r="28" customFormat="false" ht="23.25" hidden="false" customHeight="true" outlineLevel="0" collapsed="false">
      <c r="A28" s="37" t="s">
        <v>81</v>
      </c>
      <c r="B28" s="33" t="n">
        <v>13</v>
      </c>
      <c r="C28" s="34" t="s">
        <v>86</v>
      </c>
      <c r="D28" s="35" t="s">
        <v>77</v>
      </c>
      <c r="E28" s="34" t="s">
        <v>87</v>
      </c>
    </row>
    <row r="29" customFormat="false" ht="23.25" hidden="false" customHeight="true" outlineLevel="0" collapsed="false">
      <c r="A29" s="38" t="s">
        <v>88</v>
      </c>
      <c r="B29" s="33" t="n">
        <v>14</v>
      </c>
      <c r="C29" s="34" t="s">
        <v>89</v>
      </c>
      <c r="D29" s="35" t="s">
        <v>68</v>
      </c>
      <c r="E29" s="39" t="s">
        <v>90</v>
      </c>
    </row>
    <row r="30" customFormat="false" ht="23.25" hidden="false" customHeight="true" outlineLevel="0" collapsed="false">
      <c r="A30" s="30"/>
      <c r="B30" s="30"/>
      <c r="C30" s="40" t="s">
        <v>91</v>
      </c>
      <c r="D30" s="40"/>
      <c r="E30" s="40"/>
    </row>
    <row r="31" customFormat="false" ht="23.25" hidden="false" customHeight="true" outlineLevel="0" collapsed="false">
      <c r="A31" s="32" t="s">
        <v>66</v>
      </c>
      <c r="B31" s="33" t="n">
        <v>15</v>
      </c>
      <c r="C31" s="34" t="s">
        <v>92</v>
      </c>
      <c r="D31" s="41" t="s">
        <v>77</v>
      </c>
      <c r="E31" s="34" t="s">
        <v>93</v>
      </c>
    </row>
    <row r="32" customFormat="false" ht="23.25" hidden="false" customHeight="true" outlineLevel="0" collapsed="false">
      <c r="A32" s="32" t="s">
        <v>66</v>
      </c>
      <c r="B32" s="33" t="n">
        <v>16</v>
      </c>
      <c r="C32" s="34" t="s">
        <v>94</v>
      </c>
      <c r="D32" s="41" t="s">
        <v>77</v>
      </c>
      <c r="E32" s="34" t="s">
        <v>95</v>
      </c>
    </row>
    <row r="33" customFormat="false" ht="23.25" hidden="false" customHeight="true" outlineLevel="0" collapsed="false">
      <c r="A33" s="30"/>
      <c r="B33" s="30"/>
      <c r="C33" s="40" t="s">
        <v>96</v>
      </c>
      <c r="D33" s="40"/>
      <c r="E33" s="40"/>
    </row>
    <row r="34" customFormat="false" ht="23.25" hidden="false" customHeight="true" outlineLevel="0" collapsed="false">
      <c r="A34" s="37" t="s">
        <v>81</v>
      </c>
      <c r="B34" s="33" t="n">
        <v>17</v>
      </c>
      <c r="C34" s="34" t="s">
        <v>97</v>
      </c>
      <c r="D34" s="41" t="s">
        <v>77</v>
      </c>
      <c r="E34" s="47" t="n">
        <v>42887</v>
      </c>
    </row>
    <row r="35" customFormat="false" ht="23.25" hidden="false" customHeight="true" outlineLevel="0" collapsed="false">
      <c r="A35" s="37" t="s">
        <v>81</v>
      </c>
      <c r="B35" s="33" t="n">
        <v>18</v>
      </c>
      <c r="C35" s="34" t="s">
        <v>99</v>
      </c>
      <c r="D35" s="41" t="s">
        <v>77</v>
      </c>
      <c r="E35" s="39" t="s">
        <v>100</v>
      </c>
    </row>
    <row r="36" customFormat="false" ht="23.25" hidden="false" customHeight="true" outlineLevel="0" collapsed="false">
      <c r="A36" s="37" t="s">
        <v>81</v>
      </c>
      <c r="B36" s="33" t="n">
        <v>19</v>
      </c>
      <c r="C36" s="34" t="s">
        <v>101</v>
      </c>
      <c r="D36" s="41" t="s">
        <v>77</v>
      </c>
      <c r="E36" s="34" t="s">
        <v>98</v>
      </c>
    </row>
    <row r="37" customFormat="false" ht="23.25" hidden="false" customHeight="true" outlineLevel="0" collapsed="false">
      <c r="A37" s="38" t="s">
        <v>88</v>
      </c>
      <c r="B37" s="33" t="n">
        <v>20</v>
      </c>
      <c r="C37" s="34" t="s">
        <v>102</v>
      </c>
      <c r="D37" s="42" t="s">
        <v>103</v>
      </c>
      <c r="E37" s="34" t="s">
        <v>104</v>
      </c>
    </row>
  </sheetData>
  <mergeCells count="17">
    <mergeCell ref="B1:C1"/>
    <mergeCell ref="B2:C2"/>
    <mergeCell ref="B3:C3"/>
    <mergeCell ref="B4:C4"/>
    <mergeCell ref="B5:C5"/>
    <mergeCell ref="B6:C6"/>
    <mergeCell ref="B7:C7"/>
    <mergeCell ref="B8:C8"/>
    <mergeCell ref="B9:C9"/>
    <mergeCell ref="B10:C10"/>
    <mergeCell ref="B11:C11"/>
    <mergeCell ref="B12:C12"/>
    <mergeCell ref="A13:E13"/>
    <mergeCell ref="G13:H13"/>
    <mergeCell ref="C15:E15"/>
    <mergeCell ref="C30:E30"/>
    <mergeCell ref="C33:E33"/>
  </mergeCells>
  <conditionalFormatting sqref="D16:D36">
    <cfRule type="cellIs" priority="2" operator="equal" aboveAverage="0" equalAverage="0" bottom="0" percent="0" rank="0" text="" dxfId="9">
      <formula>"NO"</formula>
    </cfRule>
    <cfRule type="cellIs" priority="3" operator="equal" aboveAverage="0" equalAverage="0" bottom="0" percent="0" rank="0" text="" dxfId="10">
      <formula>"YES"</formula>
    </cfRule>
  </conditionalFormatting>
  <conditionalFormatting sqref="H19">
    <cfRule type="cellIs" priority="4" operator="greaterThanOrEqual" aboveAverage="0" equalAverage="0" bottom="0" percent="0" rank="0" text="" dxfId="11">
      <formula>1</formula>
    </cfRule>
    <cfRule type="cellIs" priority="5" operator="lessThan" aboveAverage="0" equalAverage="0" bottom="0" percent="0" rank="0" text="" dxfId="12">
      <formula>1</formula>
    </cfRule>
  </conditionalFormatting>
  <dataValidations count="3">
    <dataValidation allowBlank="true" errorStyle="stop" operator="between" showDropDown="false" showErrorMessage="false" showInputMessage="false" sqref="D16:D29" type="list">
      <formula1>"YES,NO"</formula1>
      <formula2>0</formula2>
    </dataValidation>
    <dataValidation allowBlank="true" errorStyle="stop" operator="between" showDropDown="false" showErrorMessage="false" showInputMessage="false" sqref="D31:D32" type="list">
      <formula1>"YES,NO"</formula1>
      <formula2>0</formula2>
    </dataValidation>
    <dataValidation allowBlank="true" errorStyle="stop" operator="between" showDropDown="false" showErrorMessage="false" showInputMessage="false" sqref="D34:D36" type="list">
      <formula1>"YES,NO"</formula1>
      <formula2>0</formula2>
    </dataValidation>
  </dataValidations>
  <hyperlinks>
    <hyperlink ref="E1" r:id="rId1" display="https://www.facebook.com/GOBOULT"/>
    <hyperlink ref="B2" r:id="rId2" display="support@boultaudio.com"/>
    <hyperlink ref="E2" r:id="rId3" display="N/A"/>
    <hyperlink ref="E3" r:id="rId4" display="https://linkedin.com/company/boultaudio"/>
    <hyperlink ref="E4" r:id="rId5" display="https://youtube.com/@goboult?si=XFATJhbfacYrvr_6"/>
    <hyperlink ref="E5" r:id="rId6" display="https://www.instagram.com/goboult_official/"/>
    <hyperlink ref="B10" r:id="rId7" display="https://www.boultaudio.com"/>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V62"/>
  <sheetViews>
    <sheetView showFormulas="false" showGridLines="true" showRowColHeaders="true" showZeros="true" rightToLeft="false" tabSelected="false" showOutlineSymbols="true" defaultGridColor="true" view="normal" topLeftCell="A8" colorId="64" zoomScale="30" zoomScaleNormal="30" zoomScalePageLayoutView="100" workbookViewId="0">
      <selection pane="topLeft" activeCell="A1" activeCellId="0" sqref="A1"/>
    </sheetView>
  </sheetViews>
  <sheetFormatPr defaultColWidth="10.00390625" defaultRowHeight="12.5" customHeight="false" zeroHeight="false" outlineLevelRow="0" outlineLevelCol="0"/>
  <sheetData>
    <row r="1" customFormat="false" ht="12" hidden="false" customHeight="true" outlineLevel="0" collapsed="false">
      <c r="A1" s="11" t="s">
        <v>140</v>
      </c>
      <c r="B1" s="11"/>
      <c r="C1" s="11"/>
      <c r="D1" s="11"/>
      <c r="E1" s="11"/>
      <c r="F1" s="11"/>
      <c r="G1" s="11"/>
      <c r="H1" s="11"/>
      <c r="I1" s="11"/>
      <c r="J1" s="11"/>
      <c r="K1" s="11"/>
      <c r="L1" s="11"/>
      <c r="M1" s="11"/>
      <c r="N1" s="11"/>
      <c r="O1" s="11"/>
      <c r="P1" s="11"/>
      <c r="Q1" s="11"/>
      <c r="R1" s="11"/>
      <c r="S1" s="11"/>
      <c r="T1" s="11"/>
      <c r="U1" s="11"/>
      <c r="V1" s="11"/>
      <c r="W1" s="11"/>
      <c r="X1" s="11"/>
      <c r="Y1" s="11"/>
      <c r="Z1" s="12"/>
      <c r="AA1" s="12"/>
      <c r="AB1" s="12"/>
      <c r="AC1" s="12"/>
      <c r="AD1" s="12"/>
      <c r="AE1" s="12"/>
      <c r="AF1" s="12"/>
      <c r="AG1" s="12"/>
      <c r="AH1" s="12"/>
      <c r="AI1" s="12"/>
      <c r="AJ1" s="12"/>
      <c r="AK1" s="12"/>
      <c r="AL1" s="12"/>
      <c r="AM1" s="12"/>
      <c r="AN1" s="12"/>
      <c r="AO1" s="12"/>
      <c r="AP1" s="12"/>
      <c r="AQ1" s="12"/>
      <c r="AR1" s="12"/>
      <c r="AS1" s="12"/>
      <c r="AT1" s="12"/>
      <c r="AU1" s="12"/>
      <c r="AV1" s="12"/>
    </row>
    <row r="2" customFormat="false" ht="12" hidden="false" customHeight="true" outlineLevel="0" collapsed="false">
      <c r="A2" s="11"/>
      <c r="B2" s="11"/>
      <c r="C2" s="11"/>
      <c r="D2" s="11"/>
      <c r="E2" s="11"/>
      <c r="F2" s="11"/>
      <c r="G2" s="11"/>
      <c r="H2" s="11"/>
      <c r="I2" s="11"/>
      <c r="J2" s="11"/>
      <c r="K2" s="11"/>
      <c r="L2" s="11"/>
      <c r="M2" s="11"/>
      <c r="N2" s="11"/>
      <c r="O2" s="11"/>
      <c r="P2" s="11"/>
      <c r="Q2" s="11"/>
      <c r="R2" s="11"/>
      <c r="S2" s="11"/>
      <c r="T2" s="11"/>
      <c r="U2" s="11"/>
      <c r="V2" s="11"/>
      <c r="W2" s="11"/>
      <c r="X2" s="11"/>
      <c r="Y2" s="11"/>
      <c r="Z2" s="12"/>
      <c r="AA2" s="12"/>
      <c r="AB2" s="12"/>
      <c r="AC2" s="12"/>
      <c r="AD2" s="12"/>
      <c r="AE2" s="12"/>
      <c r="AF2" s="12"/>
      <c r="AG2" s="12"/>
      <c r="AH2" s="12"/>
      <c r="AI2" s="12"/>
      <c r="AJ2" s="12"/>
      <c r="AK2" s="12"/>
      <c r="AL2" s="12"/>
      <c r="AM2" s="12"/>
      <c r="AN2" s="12"/>
      <c r="AO2" s="12"/>
      <c r="AP2" s="12"/>
      <c r="AQ2" s="12"/>
      <c r="AR2" s="12"/>
      <c r="AS2" s="12"/>
      <c r="AT2" s="12"/>
      <c r="AU2" s="12"/>
      <c r="AV2" s="12"/>
    </row>
    <row r="3" customFormat="false" ht="12" hidden="false" customHeight="true" outlineLevel="0" collapsed="false">
      <c r="A3" s="11"/>
      <c r="B3" s="11"/>
      <c r="C3" s="11"/>
      <c r="D3" s="11"/>
      <c r="E3" s="11"/>
      <c r="F3" s="11"/>
      <c r="G3" s="11"/>
      <c r="H3" s="11"/>
      <c r="I3" s="11"/>
      <c r="J3" s="11"/>
      <c r="K3" s="11"/>
      <c r="L3" s="11"/>
      <c r="M3" s="11"/>
      <c r="N3" s="11"/>
      <c r="O3" s="11"/>
      <c r="P3" s="11"/>
      <c r="Q3" s="11"/>
      <c r="R3" s="11"/>
      <c r="S3" s="11"/>
      <c r="T3" s="11"/>
      <c r="U3" s="11"/>
      <c r="V3" s="11"/>
      <c r="W3" s="11"/>
      <c r="X3" s="11"/>
      <c r="Y3" s="11"/>
      <c r="Z3" s="12"/>
      <c r="AA3" s="12"/>
      <c r="AB3" s="12"/>
      <c r="AC3" s="12"/>
      <c r="AD3" s="12"/>
      <c r="AE3" s="12"/>
      <c r="AF3" s="12"/>
      <c r="AG3" s="12"/>
      <c r="AH3" s="12"/>
      <c r="AI3" s="12"/>
      <c r="AJ3" s="12"/>
      <c r="AK3" s="12"/>
      <c r="AL3" s="12"/>
      <c r="AM3" s="12"/>
      <c r="AN3" s="12"/>
      <c r="AO3" s="12"/>
      <c r="AP3" s="12"/>
      <c r="AQ3" s="12"/>
      <c r="AR3" s="12"/>
      <c r="AS3" s="12"/>
      <c r="AT3" s="12"/>
      <c r="AU3" s="12"/>
      <c r="AV3" s="12"/>
    </row>
    <row r="4" customFormat="false" ht="12" hidden="false" customHeight="true" outlineLevel="0" collapsed="false">
      <c r="A4" s="11"/>
      <c r="B4" s="11"/>
      <c r="C4" s="11"/>
      <c r="D4" s="11"/>
      <c r="E4" s="11"/>
      <c r="F4" s="11"/>
      <c r="G4" s="11"/>
      <c r="H4" s="11"/>
      <c r="I4" s="11"/>
      <c r="J4" s="11"/>
      <c r="K4" s="11"/>
      <c r="L4" s="11"/>
      <c r="M4" s="11"/>
      <c r="N4" s="11"/>
      <c r="O4" s="11"/>
      <c r="P4" s="11"/>
      <c r="Q4" s="11"/>
      <c r="R4" s="11"/>
      <c r="S4" s="11"/>
      <c r="T4" s="11"/>
      <c r="U4" s="11"/>
      <c r="V4" s="11"/>
      <c r="W4" s="11"/>
      <c r="X4" s="11"/>
      <c r="Y4" s="11"/>
      <c r="Z4" s="12"/>
      <c r="AA4" s="12"/>
      <c r="AB4" s="12"/>
      <c r="AC4" s="12"/>
      <c r="AD4" s="12"/>
      <c r="AE4" s="12"/>
      <c r="AF4" s="12"/>
      <c r="AG4" s="12"/>
      <c r="AH4" s="12"/>
      <c r="AI4" s="12"/>
      <c r="AJ4" s="12"/>
      <c r="AK4" s="12"/>
      <c r="AL4" s="12"/>
      <c r="AM4" s="12"/>
      <c r="AN4" s="12"/>
      <c r="AO4" s="12"/>
      <c r="AP4" s="12"/>
      <c r="AQ4" s="12"/>
      <c r="AR4" s="12"/>
      <c r="AS4" s="12"/>
      <c r="AT4" s="12"/>
      <c r="AU4" s="12"/>
      <c r="AV4" s="12"/>
    </row>
    <row r="5" customFormat="false" ht="12" hidden="false" customHeight="true" outlineLevel="0" collapsed="false">
      <c r="A5" s="11"/>
      <c r="B5" s="11"/>
      <c r="C5" s="11"/>
      <c r="D5" s="11"/>
      <c r="E5" s="11"/>
      <c r="F5" s="11"/>
      <c r="G5" s="11"/>
      <c r="H5" s="11"/>
      <c r="I5" s="11"/>
      <c r="J5" s="11"/>
      <c r="K5" s="11"/>
      <c r="L5" s="11"/>
      <c r="M5" s="11"/>
      <c r="N5" s="11"/>
      <c r="O5" s="11"/>
      <c r="P5" s="11"/>
      <c r="Q5" s="11"/>
      <c r="R5" s="11"/>
      <c r="S5" s="11"/>
      <c r="T5" s="11"/>
      <c r="U5" s="11"/>
      <c r="V5" s="11"/>
      <c r="W5" s="11"/>
      <c r="X5" s="11"/>
      <c r="Y5" s="11"/>
      <c r="Z5" s="12"/>
      <c r="AA5" s="12"/>
      <c r="AB5" s="12"/>
      <c r="AC5" s="12"/>
      <c r="AD5" s="12"/>
      <c r="AE5" s="12"/>
      <c r="AF5" s="12"/>
      <c r="AG5" s="12"/>
      <c r="AH5" s="12"/>
      <c r="AI5" s="12"/>
      <c r="AJ5" s="12"/>
      <c r="AK5" s="12"/>
      <c r="AL5" s="12"/>
      <c r="AM5" s="12"/>
      <c r="AN5" s="12"/>
      <c r="AO5" s="12"/>
      <c r="AP5" s="12"/>
      <c r="AQ5" s="12"/>
      <c r="AR5" s="12"/>
      <c r="AS5" s="12"/>
      <c r="AT5" s="12"/>
      <c r="AU5" s="12"/>
      <c r="AV5" s="12"/>
    </row>
    <row r="6" customFormat="false" ht="12" hidden="false" customHeight="true" outlineLevel="0" collapsed="false">
      <c r="A6" s="11"/>
      <c r="B6" s="11"/>
      <c r="C6" s="11"/>
      <c r="D6" s="11"/>
      <c r="E6" s="11"/>
      <c r="F6" s="11"/>
      <c r="G6" s="11"/>
      <c r="H6" s="11"/>
      <c r="I6" s="11"/>
      <c r="J6" s="11"/>
      <c r="K6" s="11"/>
      <c r="L6" s="11"/>
      <c r="M6" s="11"/>
      <c r="N6" s="11"/>
      <c r="O6" s="11"/>
      <c r="P6" s="11"/>
      <c r="Q6" s="11"/>
      <c r="R6" s="11"/>
      <c r="S6" s="11"/>
      <c r="T6" s="11"/>
      <c r="U6" s="11"/>
      <c r="V6" s="11"/>
      <c r="W6" s="11"/>
      <c r="X6" s="11"/>
      <c r="Y6" s="11"/>
      <c r="Z6" s="12"/>
      <c r="AA6" s="12"/>
      <c r="AB6" s="12"/>
      <c r="AC6" s="12"/>
      <c r="AD6" s="12"/>
      <c r="AE6" s="12"/>
      <c r="AF6" s="12"/>
      <c r="AG6" s="12"/>
      <c r="AH6" s="12"/>
      <c r="AI6" s="12"/>
      <c r="AJ6" s="12"/>
      <c r="AK6" s="12"/>
      <c r="AL6" s="12"/>
      <c r="AM6" s="12"/>
      <c r="AN6" s="12"/>
      <c r="AO6" s="12"/>
      <c r="AP6" s="12"/>
      <c r="AQ6" s="12"/>
      <c r="AR6" s="12"/>
      <c r="AS6" s="12"/>
      <c r="AT6" s="12"/>
      <c r="AU6" s="12"/>
      <c r="AV6" s="12"/>
    </row>
    <row r="7" customFormat="false" ht="12" hidden="false" customHeight="true" outlineLevel="0" collapsed="false">
      <c r="A7" s="11"/>
      <c r="B7" s="11"/>
      <c r="C7" s="11"/>
      <c r="D7" s="11"/>
      <c r="E7" s="11"/>
      <c r="F7" s="11"/>
      <c r="G7" s="11"/>
      <c r="H7" s="11"/>
      <c r="I7" s="11"/>
      <c r="J7" s="11"/>
      <c r="K7" s="11"/>
      <c r="L7" s="11"/>
      <c r="M7" s="11"/>
      <c r="N7" s="11"/>
      <c r="O7" s="11"/>
      <c r="P7" s="11"/>
      <c r="Q7" s="11"/>
      <c r="R7" s="11"/>
      <c r="S7" s="11"/>
      <c r="T7" s="11"/>
      <c r="U7" s="11"/>
      <c r="V7" s="11"/>
      <c r="W7" s="11"/>
      <c r="X7" s="11"/>
      <c r="Y7" s="11"/>
      <c r="Z7" s="12"/>
      <c r="AA7" s="12"/>
      <c r="AB7" s="12"/>
      <c r="AC7" s="12"/>
      <c r="AD7" s="12"/>
      <c r="AE7" s="12"/>
      <c r="AF7" s="12"/>
      <c r="AG7" s="12"/>
      <c r="AH7" s="12"/>
      <c r="AI7" s="12"/>
      <c r="AJ7" s="12"/>
      <c r="AK7" s="12"/>
      <c r="AL7" s="12"/>
      <c r="AM7" s="12"/>
      <c r="AN7" s="12"/>
      <c r="AO7" s="12"/>
      <c r="AP7" s="12"/>
      <c r="AQ7" s="12"/>
      <c r="AR7" s="12"/>
      <c r="AS7" s="12"/>
      <c r="AT7" s="12"/>
      <c r="AU7" s="12"/>
      <c r="AV7" s="12"/>
    </row>
    <row r="8" customFormat="false" ht="12" hidden="false" customHeight="true" outlineLevel="0" collapsed="false">
      <c r="A8" s="11"/>
      <c r="B8" s="11"/>
      <c r="C8" s="11"/>
      <c r="D8" s="11"/>
      <c r="E8" s="11"/>
      <c r="F8" s="11"/>
      <c r="G8" s="11"/>
      <c r="H8" s="11"/>
      <c r="I8" s="11"/>
      <c r="J8" s="11"/>
      <c r="K8" s="11"/>
      <c r="L8" s="11"/>
      <c r="M8" s="11"/>
      <c r="N8" s="11"/>
      <c r="O8" s="11"/>
      <c r="P8" s="11"/>
      <c r="Q8" s="11"/>
      <c r="R8" s="11"/>
      <c r="S8" s="11"/>
      <c r="T8" s="11"/>
      <c r="U8" s="11"/>
      <c r="V8" s="11"/>
      <c r="W8" s="11"/>
      <c r="X8" s="11"/>
      <c r="Y8" s="11"/>
      <c r="Z8" s="12"/>
      <c r="AA8" s="12"/>
      <c r="AB8" s="12"/>
      <c r="AC8" s="12"/>
      <c r="AD8" s="12"/>
      <c r="AE8" s="12"/>
      <c r="AF8" s="12"/>
      <c r="AG8" s="12"/>
      <c r="AH8" s="12"/>
      <c r="AI8" s="12"/>
      <c r="AJ8" s="12"/>
      <c r="AK8" s="12"/>
      <c r="AL8" s="12"/>
      <c r="AM8" s="12"/>
      <c r="AN8" s="12"/>
      <c r="AO8" s="12"/>
      <c r="AP8" s="12"/>
      <c r="AQ8" s="12"/>
      <c r="AR8" s="12"/>
      <c r="AS8" s="12"/>
      <c r="AT8" s="12"/>
      <c r="AU8" s="12"/>
      <c r="AV8" s="12"/>
    </row>
    <row r="9" customFormat="false" ht="12" hidden="false" customHeight="true" outlineLevel="0" collapsed="false">
      <c r="A9" s="11"/>
      <c r="B9" s="11"/>
      <c r="C9" s="11"/>
      <c r="D9" s="11"/>
      <c r="E9" s="11"/>
      <c r="F9" s="11"/>
      <c r="G9" s="11"/>
      <c r="H9" s="11"/>
      <c r="I9" s="11"/>
      <c r="J9" s="11"/>
      <c r="K9" s="11"/>
      <c r="L9" s="11"/>
      <c r="M9" s="11"/>
      <c r="N9" s="11"/>
      <c r="O9" s="11"/>
      <c r="P9" s="11"/>
      <c r="Q9" s="11"/>
      <c r="R9" s="11"/>
      <c r="S9" s="11"/>
      <c r="T9" s="11"/>
      <c r="U9" s="11"/>
      <c r="V9" s="11"/>
      <c r="W9" s="11"/>
      <c r="X9" s="11"/>
      <c r="Y9" s="11"/>
      <c r="Z9" s="12"/>
      <c r="AA9" s="12"/>
      <c r="AB9" s="12"/>
      <c r="AC9" s="12"/>
      <c r="AD9" s="12"/>
      <c r="AE9" s="12"/>
      <c r="AF9" s="12"/>
      <c r="AG9" s="12"/>
      <c r="AH9" s="12"/>
      <c r="AI9" s="12"/>
      <c r="AJ9" s="12"/>
      <c r="AK9" s="12"/>
      <c r="AL9" s="12"/>
      <c r="AM9" s="12"/>
      <c r="AN9" s="12"/>
      <c r="AO9" s="12"/>
      <c r="AP9" s="12"/>
      <c r="AQ9" s="12"/>
      <c r="AR9" s="12"/>
      <c r="AS9" s="12"/>
      <c r="AT9" s="12"/>
      <c r="AU9" s="12"/>
      <c r="AV9" s="12"/>
    </row>
    <row r="10" customFormat="false" ht="12" hidden="false" customHeight="true" outlineLevel="0" collapsed="false">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2"/>
      <c r="AA10" s="12"/>
      <c r="AB10" s="12"/>
      <c r="AC10" s="12"/>
      <c r="AD10" s="12"/>
      <c r="AE10" s="12"/>
      <c r="AF10" s="12"/>
      <c r="AG10" s="12"/>
      <c r="AH10" s="12"/>
      <c r="AI10" s="12"/>
      <c r="AJ10" s="12"/>
      <c r="AK10" s="12"/>
      <c r="AL10" s="12"/>
      <c r="AM10" s="12"/>
      <c r="AN10" s="12"/>
      <c r="AO10" s="12"/>
      <c r="AP10" s="12"/>
      <c r="AQ10" s="12"/>
      <c r="AR10" s="12"/>
      <c r="AS10" s="12"/>
      <c r="AT10" s="12"/>
      <c r="AU10" s="12"/>
      <c r="AV10" s="12"/>
    </row>
    <row r="11" customFormat="false" ht="12" hidden="false" customHeight="true" outlineLevel="0" collapsed="false">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2"/>
      <c r="AA11" s="12"/>
      <c r="AB11" s="12"/>
      <c r="AC11" s="12"/>
      <c r="AD11" s="12"/>
      <c r="AE11" s="12"/>
      <c r="AF11" s="12"/>
      <c r="AG11" s="12"/>
      <c r="AH11" s="12"/>
      <c r="AI11" s="12"/>
      <c r="AJ11" s="12"/>
      <c r="AK11" s="12"/>
      <c r="AL11" s="12"/>
      <c r="AM11" s="12"/>
      <c r="AN11" s="12"/>
      <c r="AO11" s="12"/>
      <c r="AP11" s="12"/>
      <c r="AQ11" s="12"/>
      <c r="AR11" s="12"/>
      <c r="AS11" s="12"/>
      <c r="AT11" s="12"/>
      <c r="AU11" s="12"/>
      <c r="AV11" s="12"/>
    </row>
    <row r="12" customFormat="false" ht="12" hidden="false" customHeight="true" outlineLevel="0" collapsed="false">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2"/>
      <c r="AA12" s="12"/>
      <c r="AB12" s="12"/>
      <c r="AC12" s="12"/>
      <c r="AD12" s="12"/>
      <c r="AE12" s="12"/>
      <c r="AF12" s="12"/>
      <c r="AG12" s="12"/>
      <c r="AH12" s="12"/>
      <c r="AI12" s="12"/>
      <c r="AJ12" s="12"/>
      <c r="AK12" s="12"/>
      <c r="AL12" s="12"/>
      <c r="AM12" s="12"/>
      <c r="AN12" s="12"/>
      <c r="AO12" s="12"/>
      <c r="AP12" s="12"/>
      <c r="AQ12" s="12"/>
      <c r="AR12" s="12"/>
      <c r="AS12" s="12"/>
      <c r="AT12" s="12"/>
      <c r="AU12" s="12"/>
      <c r="AV12" s="12"/>
    </row>
    <row r="13" customFormat="false" ht="12" hidden="false" customHeight="true" outlineLevel="0" collapsed="false">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2"/>
      <c r="AA13" s="12"/>
      <c r="AB13" s="12"/>
      <c r="AC13" s="12"/>
      <c r="AD13" s="12"/>
      <c r="AE13" s="12"/>
      <c r="AF13" s="12"/>
      <c r="AG13" s="12"/>
      <c r="AH13" s="12"/>
      <c r="AI13" s="12"/>
      <c r="AJ13" s="12"/>
      <c r="AK13" s="12"/>
      <c r="AL13" s="12"/>
      <c r="AM13" s="12"/>
      <c r="AN13" s="12"/>
      <c r="AO13" s="12"/>
      <c r="AP13" s="12"/>
      <c r="AQ13" s="12"/>
      <c r="AR13" s="12"/>
      <c r="AS13" s="12"/>
      <c r="AT13" s="12"/>
      <c r="AU13" s="12"/>
      <c r="AV13" s="12"/>
    </row>
    <row r="14" customFormat="false" ht="12" hidden="false" customHeight="true" outlineLevel="0" collapsed="false">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2"/>
      <c r="AA14" s="12"/>
      <c r="AB14" s="12"/>
      <c r="AC14" s="12"/>
      <c r="AD14" s="12"/>
      <c r="AE14" s="12"/>
      <c r="AF14" s="12"/>
      <c r="AG14" s="12"/>
      <c r="AH14" s="12"/>
      <c r="AI14" s="12"/>
      <c r="AJ14" s="12"/>
      <c r="AK14" s="12"/>
      <c r="AL14" s="12"/>
      <c r="AM14" s="12"/>
      <c r="AN14" s="12"/>
      <c r="AO14" s="12"/>
      <c r="AP14" s="12"/>
      <c r="AQ14" s="12"/>
      <c r="AR14" s="12"/>
      <c r="AS14" s="12"/>
      <c r="AT14" s="12"/>
      <c r="AU14" s="12"/>
      <c r="AV14" s="12"/>
    </row>
    <row r="15" customFormat="false" ht="12" hidden="false" customHeight="true" outlineLevel="0" collapsed="false">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2"/>
      <c r="AA15" s="12"/>
      <c r="AB15" s="12"/>
      <c r="AC15" s="12"/>
      <c r="AD15" s="12"/>
      <c r="AE15" s="12"/>
      <c r="AF15" s="12"/>
      <c r="AG15" s="12"/>
      <c r="AH15" s="12"/>
      <c r="AI15" s="12"/>
      <c r="AJ15" s="12"/>
      <c r="AK15" s="12"/>
      <c r="AL15" s="12"/>
      <c r="AM15" s="12"/>
      <c r="AN15" s="12"/>
      <c r="AO15" s="12"/>
      <c r="AP15" s="12"/>
      <c r="AQ15" s="12"/>
      <c r="AR15" s="12"/>
      <c r="AS15" s="12"/>
      <c r="AT15" s="12"/>
      <c r="AU15" s="12"/>
      <c r="AV15" s="12"/>
    </row>
    <row r="16" customFormat="false" ht="12" hidden="false" customHeight="true" outlineLevel="0" collapsed="false">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2"/>
      <c r="AA16" s="12"/>
      <c r="AB16" s="12"/>
      <c r="AC16" s="12"/>
      <c r="AD16" s="12"/>
      <c r="AE16" s="12"/>
      <c r="AF16" s="12"/>
      <c r="AG16" s="12"/>
      <c r="AH16" s="12"/>
      <c r="AI16" s="12"/>
      <c r="AJ16" s="12"/>
      <c r="AK16" s="12"/>
      <c r="AL16" s="12"/>
      <c r="AM16" s="12"/>
      <c r="AN16" s="12"/>
      <c r="AO16" s="12"/>
      <c r="AP16" s="12"/>
      <c r="AQ16" s="12"/>
      <c r="AR16" s="12"/>
      <c r="AS16" s="12"/>
      <c r="AT16" s="12"/>
      <c r="AU16" s="12"/>
      <c r="AV16" s="12"/>
    </row>
    <row r="17" customFormat="false" ht="12" hidden="false" customHeight="true" outlineLevel="0" collapsed="false">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2"/>
      <c r="AA17" s="12"/>
      <c r="AB17" s="12"/>
      <c r="AC17" s="12"/>
      <c r="AD17" s="12"/>
      <c r="AE17" s="12"/>
      <c r="AF17" s="12"/>
      <c r="AG17" s="12"/>
      <c r="AH17" s="12"/>
      <c r="AI17" s="12"/>
      <c r="AJ17" s="12"/>
      <c r="AK17" s="12"/>
      <c r="AL17" s="12"/>
      <c r="AM17" s="12"/>
      <c r="AN17" s="12"/>
      <c r="AO17" s="12"/>
      <c r="AP17" s="12"/>
      <c r="AQ17" s="12"/>
      <c r="AR17" s="12"/>
      <c r="AS17" s="12"/>
      <c r="AT17" s="12"/>
      <c r="AU17" s="12"/>
      <c r="AV17" s="12"/>
    </row>
    <row r="18" customFormat="false" ht="12" hidden="false" customHeight="true" outlineLevel="0" collapsed="false">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2"/>
      <c r="AA18" s="12"/>
      <c r="AB18" s="12"/>
      <c r="AC18" s="12"/>
      <c r="AD18" s="12"/>
      <c r="AE18" s="12"/>
      <c r="AF18" s="12"/>
      <c r="AG18" s="12"/>
      <c r="AH18" s="12"/>
      <c r="AI18" s="12"/>
      <c r="AJ18" s="12"/>
      <c r="AK18" s="12"/>
      <c r="AL18" s="12"/>
      <c r="AM18" s="12"/>
      <c r="AN18" s="12"/>
      <c r="AO18" s="12"/>
      <c r="AP18" s="12"/>
      <c r="AQ18" s="12"/>
      <c r="AR18" s="12"/>
      <c r="AS18" s="12"/>
      <c r="AT18" s="12"/>
      <c r="AU18" s="12"/>
      <c r="AV18" s="12"/>
    </row>
    <row r="19" customFormat="false" ht="12" hidden="false" customHeight="true" outlineLevel="0" collapsed="false">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2"/>
      <c r="AA19" s="12"/>
      <c r="AB19" s="12"/>
      <c r="AC19" s="12"/>
      <c r="AD19" s="12"/>
      <c r="AE19" s="12"/>
      <c r="AF19" s="12"/>
      <c r="AG19" s="12"/>
      <c r="AH19" s="12"/>
      <c r="AI19" s="12"/>
      <c r="AJ19" s="12"/>
      <c r="AK19" s="12"/>
      <c r="AL19" s="12"/>
      <c r="AM19" s="12"/>
      <c r="AN19" s="12"/>
      <c r="AO19" s="12"/>
      <c r="AP19" s="12"/>
      <c r="AQ19" s="12"/>
      <c r="AR19" s="12"/>
      <c r="AS19" s="12"/>
      <c r="AT19" s="12"/>
      <c r="AU19" s="12"/>
      <c r="AV19" s="12"/>
    </row>
    <row r="20" customFormat="false" ht="12" hidden="false" customHeight="true" outlineLevel="0" collapsed="false">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2"/>
      <c r="AA20" s="12"/>
      <c r="AB20" s="12"/>
      <c r="AC20" s="12"/>
      <c r="AD20" s="12"/>
      <c r="AE20" s="12"/>
      <c r="AF20" s="12"/>
      <c r="AG20" s="12"/>
      <c r="AH20" s="12"/>
      <c r="AI20" s="12"/>
      <c r="AJ20" s="12"/>
      <c r="AK20" s="12"/>
      <c r="AL20" s="12"/>
      <c r="AM20" s="12"/>
      <c r="AN20" s="12"/>
      <c r="AO20" s="12"/>
      <c r="AP20" s="12"/>
      <c r="AQ20" s="12"/>
      <c r="AR20" s="12"/>
      <c r="AS20" s="12"/>
      <c r="AT20" s="12"/>
      <c r="AU20" s="12"/>
      <c r="AV20" s="12"/>
    </row>
    <row r="21" customFormat="false" ht="12" hidden="false" customHeight="true" outlineLevel="0" collapsed="false">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2"/>
      <c r="AA21" s="12"/>
      <c r="AB21" s="12"/>
      <c r="AC21" s="12"/>
      <c r="AD21" s="12"/>
      <c r="AE21" s="12"/>
      <c r="AF21" s="12"/>
      <c r="AG21" s="12"/>
      <c r="AH21" s="12"/>
      <c r="AI21" s="12"/>
      <c r="AJ21" s="12"/>
      <c r="AK21" s="12"/>
      <c r="AL21" s="12"/>
      <c r="AM21" s="12"/>
      <c r="AN21" s="12"/>
      <c r="AO21" s="12"/>
      <c r="AP21" s="12"/>
      <c r="AQ21" s="12"/>
      <c r="AR21" s="12"/>
      <c r="AS21" s="12"/>
      <c r="AT21" s="12"/>
      <c r="AU21" s="12"/>
      <c r="AV21" s="12"/>
    </row>
    <row r="22" customFormat="false" ht="12" hidden="false" customHeight="true" outlineLevel="0" collapsed="false">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2"/>
      <c r="AA22" s="12"/>
      <c r="AB22" s="12"/>
      <c r="AC22" s="12"/>
      <c r="AD22" s="12"/>
      <c r="AE22" s="12"/>
      <c r="AF22" s="12"/>
      <c r="AG22" s="12"/>
      <c r="AH22" s="12"/>
      <c r="AI22" s="12"/>
      <c r="AJ22" s="12"/>
      <c r="AK22" s="12"/>
      <c r="AL22" s="12"/>
      <c r="AM22" s="12"/>
      <c r="AN22" s="12"/>
      <c r="AO22" s="12"/>
      <c r="AP22" s="12"/>
      <c r="AQ22" s="12"/>
      <c r="AR22" s="12"/>
      <c r="AS22" s="12"/>
      <c r="AT22" s="12"/>
      <c r="AU22" s="12"/>
      <c r="AV22" s="12"/>
    </row>
    <row r="23" customFormat="false" ht="12" hidden="false" customHeight="true" outlineLevel="0" collapsed="false">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2"/>
      <c r="AA23" s="12"/>
      <c r="AB23" s="12"/>
      <c r="AC23" s="12"/>
      <c r="AD23" s="12"/>
      <c r="AE23" s="12"/>
      <c r="AF23" s="12"/>
      <c r="AG23" s="12"/>
      <c r="AH23" s="12"/>
      <c r="AI23" s="12"/>
      <c r="AJ23" s="12"/>
      <c r="AK23" s="12"/>
      <c r="AL23" s="12"/>
      <c r="AM23" s="12"/>
      <c r="AN23" s="12"/>
      <c r="AO23" s="12"/>
      <c r="AP23" s="12"/>
      <c r="AQ23" s="12"/>
      <c r="AR23" s="12"/>
      <c r="AS23" s="12"/>
      <c r="AT23" s="12"/>
      <c r="AU23" s="12"/>
      <c r="AV23" s="12"/>
    </row>
    <row r="24" customFormat="false" ht="12" hidden="false" customHeight="true" outlineLevel="0" collapsed="false">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2"/>
      <c r="AA24" s="12"/>
      <c r="AB24" s="12"/>
      <c r="AC24" s="12"/>
      <c r="AD24" s="12"/>
      <c r="AE24" s="12"/>
      <c r="AF24" s="12"/>
      <c r="AG24" s="12"/>
      <c r="AH24" s="12"/>
      <c r="AI24" s="12"/>
      <c r="AJ24" s="12"/>
      <c r="AK24" s="12"/>
      <c r="AL24" s="12"/>
      <c r="AM24" s="12"/>
      <c r="AN24" s="12"/>
      <c r="AO24" s="12"/>
      <c r="AP24" s="12"/>
      <c r="AQ24" s="12"/>
      <c r="AR24" s="12"/>
      <c r="AS24" s="12"/>
      <c r="AT24" s="12"/>
      <c r="AU24" s="12"/>
      <c r="AV24" s="12"/>
    </row>
    <row r="25" customFormat="false" ht="12" hidden="false" customHeight="true" outlineLevel="0" collapsed="false">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2"/>
      <c r="AA25" s="12"/>
      <c r="AB25" s="12"/>
      <c r="AC25" s="12"/>
      <c r="AD25" s="12"/>
      <c r="AE25" s="12"/>
      <c r="AF25" s="12"/>
      <c r="AG25" s="12"/>
      <c r="AH25" s="12"/>
      <c r="AI25" s="12"/>
      <c r="AJ25" s="12"/>
      <c r="AK25" s="12"/>
      <c r="AL25" s="12"/>
      <c r="AM25" s="12"/>
      <c r="AN25" s="12"/>
      <c r="AO25" s="12"/>
      <c r="AP25" s="12"/>
      <c r="AQ25" s="12"/>
      <c r="AR25" s="12"/>
      <c r="AS25" s="12"/>
      <c r="AT25" s="12"/>
      <c r="AU25" s="12"/>
      <c r="AV25" s="12"/>
    </row>
    <row r="26" customFormat="false" ht="12" hidden="false" customHeight="true" outlineLevel="0" collapsed="false">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2"/>
      <c r="AA26" s="12"/>
      <c r="AB26" s="12"/>
      <c r="AC26" s="12"/>
      <c r="AD26" s="12"/>
      <c r="AE26" s="12"/>
      <c r="AF26" s="12"/>
      <c r="AG26" s="12"/>
      <c r="AH26" s="12"/>
      <c r="AI26" s="12"/>
      <c r="AJ26" s="12"/>
      <c r="AK26" s="12"/>
      <c r="AL26" s="12"/>
      <c r="AM26" s="12"/>
      <c r="AN26" s="12"/>
      <c r="AO26" s="12"/>
      <c r="AP26" s="12"/>
      <c r="AQ26" s="12"/>
      <c r="AR26" s="12"/>
      <c r="AS26" s="12"/>
      <c r="AT26" s="12"/>
      <c r="AU26" s="12"/>
      <c r="AV26" s="12"/>
    </row>
    <row r="27" customFormat="false" ht="12" hidden="false" customHeight="true" outlineLevel="0" collapsed="false">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2"/>
      <c r="AA27" s="12"/>
      <c r="AB27" s="12"/>
      <c r="AC27" s="12"/>
      <c r="AD27" s="12"/>
      <c r="AE27" s="12"/>
      <c r="AF27" s="12"/>
      <c r="AG27" s="12"/>
      <c r="AH27" s="12"/>
      <c r="AI27" s="12"/>
      <c r="AJ27" s="12"/>
      <c r="AK27" s="12"/>
      <c r="AL27" s="12"/>
      <c r="AM27" s="12"/>
      <c r="AN27" s="12"/>
      <c r="AO27" s="12"/>
      <c r="AP27" s="12"/>
      <c r="AQ27" s="12"/>
      <c r="AR27" s="12"/>
      <c r="AS27" s="12"/>
      <c r="AT27" s="12"/>
      <c r="AU27" s="12"/>
      <c r="AV27" s="12"/>
    </row>
    <row r="28" customFormat="false" ht="12" hidden="false" customHeight="true" outlineLevel="0" collapsed="false">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2"/>
      <c r="AA28" s="12"/>
      <c r="AB28" s="12"/>
      <c r="AC28" s="12"/>
      <c r="AD28" s="12"/>
      <c r="AE28" s="12"/>
      <c r="AF28" s="12"/>
      <c r="AG28" s="12"/>
      <c r="AH28" s="12"/>
      <c r="AI28" s="12"/>
      <c r="AJ28" s="12"/>
      <c r="AK28" s="12"/>
      <c r="AL28" s="12"/>
      <c r="AM28" s="12"/>
      <c r="AN28" s="12"/>
      <c r="AO28" s="12"/>
      <c r="AP28" s="12"/>
      <c r="AQ28" s="12"/>
      <c r="AR28" s="12"/>
      <c r="AS28" s="12"/>
      <c r="AT28" s="12"/>
      <c r="AU28" s="12"/>
      <c r="AV28" s="12"/>
    </row>
    <row r="29" customFormat="false" ht="12" hidden="false" customHeight="true" outlineLevel="0" collapsed="false">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2"/>
      <c r="AA29" s="12"/>
      <c r="AB29" s="12"/>
      <c r="AC29" s="12"/>
      <c r="AD29" s="12"/>
      <c r="AE29" s="12"/>
      <c r="AF29" s="12"/>
      <c r="AG29" s="12"/>
      <c r="AH29" s="12"/>
      <c r="AI29" s="12"/>
      <c r="AJ29" s="12"/>
      <c r="AK29" s="12"/>
      <c r="AL29" s="12"/>
      <c r="AM29" s="12"/>
      <c r="AN29" s="12"/>
      <c r="AO29" s="12"/>
      <c r="AP29" s="12"/>
      <c r="AQ29" s="12"/>
      <c r="AR29" s="12"/>
      <c r="AS29" s="12"/>
      <c r="AT29" s="12"/>
      <c r="AU29" s="12"/>
      <c r="AV29" s="12"/>
    </row>
    <row r="30" customFormat="false" ht="12" hidden="false" customHeight="true" outlineLevel="0" collapsed="false">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2"/>
      <c r="AA30" s="12"/>
      <c r="AB30" s="12"/>
      <c r="AC30" s="12"/>
      <c r="AD30" s="12"/>
      <c r="AE30" s="12"/>
      <c r="AF30" s="12"/>
      <c r="AG30" s="12"/>
      <c r="AH30" s="12"/>
      <c r="AI30" s="12"/>
      <c r="AJ30" s="12"/>
      <c r="AK30" s="12"/>
      <c r="AL30" s="12"/>
      <c r="AM30" s="12"/>
      <c r="AN30" s="12"/>
      <c r="AO30" s="12"/>
      <c r="AP30" s="12"/>
      <c r="AQ30" s="12"/>
      <c r="AR30" s="12"/>
      <c r="AS30" s="12"/>
      <c r="AT30" s="12"/>
      <c r="AU30" s="12"/>
      <c r="AV30" s="12"/>
    </row>
    <row r="31" customFormat="false" ht="12" hidden="false" customHeight="true" outlineLevel="0" collapsed="false">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2"/>
      <c r="AA31" s="12"/>
      <c r="AB31" s="12"/>
      <c r="AC31" s="12"/>
      <c r="AD31" s="12"/>
      <c r="AE31" s="12"/>
      <c r="AF31" s="12"/>
      <c r="AG31" s="12"/>
      <c r="AH31" s="12"/>
      <c r="AI31" s="12"/>
      <c r="AJ31" s="12"/>
      <c r="AK31" s="12"/>
      <c r="AL31" s="12"/>
      <c r="AM31" s="12"/>
      <c r="AN31" s="12"/>
      <c r="AO31" s="12"/>
      <c r="AP31" s="12"/>
      <c r="AQ31" s="12"/>
      <c r="AR31" s="12"/>
      <c r="AS31" s="12"/>
      <c r="AT31" s="12"/>
      <c r="AU31" s="12"/>
      <c r="AV31" s="12"/>
    </row>
    <row r="32" customFormat="false" ht="12" hidden="false" customHeight="true" outlineLevel="0" collapsed="false">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2"/>
      <c r="AA32" s="12"/>
      <c r="AB32" s="12"/>
      <c r="AC32" s="12"/>
      <c r="AD32" s="12"/>
      <c r="AE32" s="12"/>
      <c r="AF32" s="12"/>
      <c r="AG32" s="12"/>
      <c r="AH32" s="12"/>
      <c r="AI32" s="12"/>
      <c r="AJ32" s="12"/>
      <c r="AK32" s="12"/>
      <c r="AL32" s="12"/>
      <c r="AM32" s="12"/>
      <c r="AN32" s="12"/>
      <c r="AO32" s="12"/>
      <c r="AP32" s="12"/>
      <c r="AQ32" s="12"/>
      <c r="AR32" s="12"/>
      <c r="AS32" s="12"/>
      <c r="AT32" s="12"/>
      <c r="AU32" s="12"/>
      <c r="AV32" s="12"/>
    </row>
    <row r="33" customFormat="false" ht="12" hidden="false" customHeight="true" outlineLevel="0" collapsed="false">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2"/>
      <c r="AA33" s="12"/>
      <c r="AB33" s="12"/>
      <c r="AC33" s="12"/>
      <c r="AD33" s="12"/>
      <c r="AE33" s="12"/>
      <c r="AF33" s="12"/>
      <c r="AG33" s="12"/>
      <c r="AH33" s="12"/>
      <c r="AI33" s="12"/>
      <c r="AJ33" s="12"/>
      <c r="AK33" s="12"/>
      <c r="AL33" s="12"/>
      <c r="AM33" s="12"/>
      <c r="AN33" s="12"/>
      <c r="AO33" s="12"/>
      <c r="AP33" s="12"/>
      <c r="AQ33" s="12"/>
      <c r="AR33" s="12"/>
      <c r="AS33" s="12"/>
      <c r="AT33" s="12"/>
      <c r="AU33" s="12"/>
      <c r="AV33" s="12"/>
    </row>
    <row r="34" customFormat="false" ht="12" hidden="false" customHeight="true" outlineLevel="0" collapsed="false">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2"/>
      <c r="AA34" s="12"/>
      <c r="AB34" s="12"/>
      <c r="AC34" s="12"/>
      <c r="AD34" s="12"/>
      <c r="AE34" s="12"/>
      <c r="AF34" s="12"/>
      <c r="AG34" s="12"/>
      <c r="AH34" s="12"/>
      <c r="AI34" s="12"/>
      <c r="AJ34" s="12"/>
      <c r="AK34" s="12"/>
      <c r="AL34" s="12"/>
      <c r="AM34" s="12"/>
      <c r="AN34" s="12"/>
      <c r="AO34" s="12"/>
      <c r="AP34" s="12"/>
      <c r="AQ34" s="12"/>
      <c r="AR34" s="12"/>
      <c r="AS34" s="12"/>
      <c r="AT34" s="12"/>
      <c r="AU34" s="12"/>
      <c r="AV34" s="12"/>
    </row>
    <row r="35" customFormat="false" ht="12" hidden="false" customHeight="true" outlineLevel="0" collapsed="false">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2"/>
      <c r="AA35" s="12"/>
      <c r="AB35" s="12"/>
      <c r="AC35" s="12"/>
      <c r="AD35" s="12"/>
      <c r="AE35" s="12"/>
      <c r="AF35" s="12"/>
      <c r="AG35" s="12"/>
      <c r="AH35" s="12"/>
      <c r="AI35" s="12"/>
      <c r="AJ35" s="12"/>
      <c r="AK35" s="12"/>
      <c r="AL35" s="12"/>
      <c r="AM35" s="12"/>
      <c r="AN35" s="12"/>
      <c r="AO35" s="12"/>
      <c r="AP35" s="12"/>
      <c r="AQ35" s="12"/>
      <c r="AR35" s="12"/>
      <c r="AS35" s="12"/>
      <c r="AT35" s="12"/>
      <c r="AU35" s="12"/>
      <c r="AV35" s="12"/>
    </row>
    <row r="36" customFormat="false" ht="12" hidden="false" customHeight="true" outlineLevel="0" collapsed="false">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2"/>
      <c r="AA36" s="12"/>
      <c r="AB36" s="12"/>
      <c r="AC36" s="12"/>
      <c r="AD36" s="12"/>
      <c r="AE36" s="12"/>
      <c r="AF36" s="12"/>
      <c r="AG36" s="12"/>
      <c r="AH36" s="12"/>
      <c r="AI36" s="12"/>
      <c r="AJ36" s="12"/>
      <c r="AK36" s="12"/>
      <c r="AL36" s="12"/>
      <c r="AM36" s="12"/>
      <c r="AN36" s="12"/>
      <c r="AO36" s="12"/>
      <c r="AP36" s="12"/>
      <c r="AQ36" s="12"/>
      <c r="AR36" s="12"/>
      <c r="AS36" s="12"/>
      <c r="AT36" s="12"/>
      <c r="AU36" s="12"/>
      <c r="AV36" s="12"/>
    </row>
    <row r="37" customFormat="false" ht="12" hidden="false" customHeight="true" outlineLevel="0" collapsed="false">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2"/>
      <c r="AA37" s="12"/>
      <c r="AB37" s="12"/>
      <c r="AC37" s="12"/>
      <c r="AD37" s="12"/>
      <c r="AE37" s="12"/>
      <c r="AF37" s="12"/>
      <c r="AG37" s="12"/>
      <c r="AH37" s="12"/>
      <c r="AI37" s="12"/>
      <c r="AJ37" s="12"/>
      <c r="AK37" s="12"/>
      <c r="AL37" s="12"/>
      <c r="AM37" s="12"/>
      <c r="AN37" s="12"/>
      <c r="AO37" s="12"/>
      <c r="AP37" s="12"/>
      <c r="AQ37" s="12"/>
      <c r="AR37" s="12"/>
      <c r="AS37" s="12"/>
      <c r="AT37" s="12"/>
      <c r="AU37" s="12"/>
      <c r="AV37" s="12"/>
    </row>
    <row r="38" customFormat="false" ht="12" hidden="false" customHeight="true" outlineLevel="0" collapsed="false">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2"/>
      <c r="AA38" s="12"/>
      <c r="AB38" s="12"/>
      <c r="AC38" s="12"/>
      <c r="AD38" s="12"/>
      <c r="AE38" s="12"/>
      <c r="AF38" s="12"/>
      <c r="AG38" s="12"/>
      <c r="AH38" s="12"/>
      <c r="AI38" s="12"/>
      <c r="AJ38" s="12"/>
      <c r="AK38" s="12"/>
      <c r="AL38" s="12"/>
      <c r="AM38" s="12"/>
      <c r="AN38" s="12"/>
      <c r="AO38" s="12"/>
      <c r="AP38" s="12"/>
      <c r="AQ38" s="12"/>
      <c r="AR38" s="12"/>
      <c r="AS38" s="12"/>
      <c r="AT38" s="12"/>
      <c r="AU38" s="12"/>
      <c r="AV38" s="12"/>
    </row>
    <row r="39" customFormat="false" ht="12" hidden="false" customHeight="true" outlineLevel="0" collapsed="false">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2"/>
      <c r="AA39" s="12"/>
      <c r="AB39" s="12"/>
      <c r="AC39" s="12"/>
      <c r="AD39" s="12"/>
      <c r="AE39" s="12"/>
      <c r="AF39" s="12"/>
      <c r="AG39" s="12"/>
      <c r="AH39" s="12"/>
      <c r="AI39" s="12"/>
      <c r="AJ39" s="12"/>
      <c r="AK39" s="12"/>
      <c r="AL39" s="12"/>
      <c r="AM39" s="12"/>
      <c r="AN39" s="12"/>
      <c r="AO39" s="12"/>
      <c r="AP39" s="12"/>
      <c r="AQ39" s="12"/>
      <c r="AR39" s="12"/>
      <c r="AS39" s="12"/>
      <c r="AT39" s="12"/>
      <c r="AU39" s="12"/>
      <c r="AV39" s="12"/>
    </row>
    <row r="40" customFormat="false" ht="12" hidden="false" customHeight="true" outlineLevel="0" collapsed="false">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2"/>
      <c r="AA40" s="12"/>
      <c r="AB40" s="12"/>
      <c r="AC40" s="12"/>
      <c r="AD40" s="12"/>
      <c r="AE40" s="12"/>
      <c r="AF40" s="12"/>
      <c r="AG40" s="12"/>
      <c r="AH40" s="12"/>
      <c r="AI40" s="12"/>
      <c r="AJ40" s="12"/>
      <c r="AK40" s="12"/>
      <c r="AL40" s="12"/>
      <c r="AM40" s="12"/>
      <c r="AN40" s="12"/>
      <c r="AO40" s="12"/>
      <c r="AP40" s="12"/>
      <c r="AQ40" s="12"/>
      <c r="AR40" s="12"/>
      <c r="AS40" s="12"/>
      <c r="AT40" s="12"/>
      <c r="AU40" s="12"/>
      <c r="AV40" s="12"/>
    </row>
    <row r="41" customFormat="false" ht="12" hidden="false" customHeight="true" outlineLevel="0" collapsed="false">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2"/>
      <c r="AA41" s="12"/>
      <c r="AB41" s="12"/>
      <c r="AC41" s="12"/>
      <c r="AD41" s="12"/>
      <c r="AE41" s="12"/>
      <c r="AF41" s="12"/>
      <c r="AG41" s="12"/>
      <c r="AH41" s="12"/>
      <c r="AI41" s="12"/>
      <c r="AJ41" s="12"/>
      <c r="AK41" s="12"/>
      <c r="AL41" s="12"/>
      <c r="AM41" s="12"/>
      <c r="AN41" s="12"/>
      <c r="AO41" s="12"/>
      <c r="AP41" s="12"/>
      <c r="AQ41" s="12"/>
      <c r="AR41" s="12"/>
      <c r="AS41" s="12"/>
      <c r="AT41" s="12"/>
      <c r="AU41" s="12"/>
      <c r="AV41" s="12"/>
    </row>
    <row r="42" customFormat="false" ht="12" hidden="false" customHeight="true" outlineLevel="0" collapsed="false">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2"/>
      <c r="AA42" s="12"/>
      <c r="AB42" s="12"/>
      <c r="AC42" s="12"/>
      <c r="AD42" s="12"/>
      <c r="AE42" s="12"/>
      <c r="AF42" s="12"/>
      <c r="AG42" s="12"/>
      <c r="AH42" s="12"/>
      <c r="AI42" s="12"/>
      <c r="AJ42" s="12"/>
      <c r="AK42" s="12"/>
      <c r="AL42" s="12"/>
      <c r="AM42" s="12"/>
      <c r="AN42" s="12"/>
      <c r="AO42" s="12"/>
      <c r="AP42" s="12"/>
      <c r="AQ42" s="12"/>
      <c r="AR42" s="12"/>
      <c r="AS42" s="12"/>
      <c r="AT42" s="12"/>
      <c r="AU42" s="12"/>
      <c r="AV42" s="12"/>
    </row>
    <row r="43" customFormat="false" ht="12" hidden="false" customHeight="true" outlineLevel="0" collapsed="false">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2"/>
      <c r="AA43" s="12"/>
      <c r="AB43" s="12"/>
      <c r="AC43" s="12"/>
      <c r="AD43" s="12"/>
      <c r="AE43" s="12"/>
      <c r="AF43" s="12"/>
      <c r="AG43" s="12"/>
      <c r="AH43" s="12"/>
      <c r="AI43" s="12"/>
      <c r="AJ43" s="12"/>
      <c r="AK43" s="12"/>
      <c r="AL43" s="12"/>
      <c r="AM43" s="12"/>
      <c r="AN43" s="12"/>
      <c r="AO43" s="12"/>
      <c r="AP43" s="12"/>
      <c r="AQ43" s="12"/>
      <c r="AR43" s="12"/>
      <c r="AS43" s="12"/>
      <c r="AT43" s="12"/>
      <c r="AU43" s="12"/>
      <c r="AV43" s="12"/>
    </row>
    <row r="44" customFormat="false" ht="12" hidden="false" customHeight="true" outlineLevel="0" collapsed="false">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2"/>
      <c r="AA44" s="12"/>
      <c r="AB44" s="12"/>
      <c r="AC44" s="12"/>
      <c r="AD44" s="12"/>
      <c r="AE44" s="12"/>
      <c r="AF44" s="12"/>
      <c r="AG44" s="12"/>
      <c r="AH44" s="12"/>
      <c r="AI44" s="12"/>
      <c r="AJ44" s="12"/>
      <c r="AK44" s="12"/>
      <c r="AL44" s="12"/>
      <c r="AM44" s="12"/>
      <c r="AN44" s="12"/>
      <c r="AO44" s="12"/>
      <c r="AP44" s="12"/>
      <c r="AQ44" s="12"/>
      <c r="AR44" s="12"/>
      <c r="AS44" s="12"/>
      <c r="AT44" s="12"/>
      <c r="AU44" s="12"/>
      <c r="AV44" s="12"/>
    </row>
    <row r="45" customFormat="false" ht="12" hidden="false" customHeight="true" outlineLevel="0" collapsed="false">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2"/>
      <c r="AA45" s="12"/>
      <c r="AB45" s="12"/>
      <c r="AC45" s="12"/>
      <c r="AD45" s="12"/>
      <c r="AE45" s="12"/>
      <c r="AF45" s="12"/>
      <c r="AG45" s="12"/>
      <c r="AH45" s="12"/>
      <c r="AI45" s="12"/>
      <c r="AJ45" s="12"/>
      <c r="AK45" s="12"/>
      <c r="AL45" s="12"/>
      <c r="AM45" s="12"/>
      <c r="AN45" s="12"/>
      <c r="AO45" s="12"/>
      <c r="AP45" s="12"/>
      <c r="AQ45" s="12"/>
      <c r="AR45" s="12"/>
      <c r="AS45" s="12"/>
      <c r="AT45" s="12"/>
      <c r="AU45" s="12"/>
      <c r="AV45" s="12"/>
    </row>
    <row r="46" customFormat="false" ht="12" hidden="false" customHeight="true" outlineLevel="0" collapsed="false">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2"/>
      <c r="AA46" s="12"/>
      <c r="AB46" s="12"/>
      <c r="AC46" s="12"/>
      <c r="AD46" s="12"/>
      <c r="AE46" s="12"/>
      <c r="AF46" s="12"/>
      <c r="AG46" s="12"/>
      <c r="AH46" s="12"/>
      <c r="AI46" s="12"/>
      <c r="AJ46" s="12"/>
      <c r="AK46" s="12"/>
      <c r="AL46" s="12"/>
      <c r="AM46" s="12"/>
      <c r="AN46" s="12"/>
      <c r="AO46" s="12"/>
      <c r="AP46" s="12"/>
      <c r="AQ46" s="12"/>
      <c r="AR46" s="12"/>
      <c r="AS46" s="12"/>
      <c r="AT46" s="12"/>
      <c r="AU46" s="12"/>
      <c r="AV46" s="12"/>
    </row>
    <row r="47" customFormat="false" ht="12" hidden="false" customHeight="true" outlineLevel="0" collapsed="false">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2"/>
      <c r="AA47" s="12"/>
      <c r="AB47" s="12"/>
      <c r="AC47" s="12"/>
      <c r="AD47" s="12"/>
      <c r="AE47" s="12"/>
      <c r="AF47" s="12"/>
      <c r="AG47" s="12"/>
      <c r="AH47" s="12"/>
      <c r="AI47" s="12"/>
      <c r="AJ47" s="12"/>
      <c r="AK47" s="12"/>
      <c r="AL47" s="12"/>
      <c r="AM47" s="12"/>
      <c r="AN47" s="12"/>
      <c r="AO47" s="12"/>
      <c r="AP47" s="12"/>
      <c r="AQ47" s="12"/>
      <c r="AR47" s="12"/>
      <c r="AS47" s="12"/>
      <c r="AT47" s="12"/>
      <c r="AU47" s="12"/>
      <c r="AV47" s="12"/>
    </row>
    <row r="48" customFormat="false" ht="12" hidden="false" customHeight="true" outlineLevel="0" collapsed="false">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2"/>
      <c r="AA48" s="12"/>
      <c r="AB48" s="12"/>
      <c r="AC48" s="12"/>
      <c r="AD48" s="12"/>
      <c r="AE48" s="12"/>
      <c r="AF48" s="12"/>
      <c r="AG48" s="12"/>
      <c r="AH48" s="12"/>
      <c r="AI48" s="12"/>
      <c r="AJ48" s="12"/>
      <c r="AK48" s="12"/>
      <c r="AL48" s="12"/>
      <c r="AM48" s="12"/>
      <c r="AN48" s="12"/>
      <c r="AO48" s="12"/>
      <c r="AP48" s="12"/>
      <c r="AQ48" s="12"/>
      <c r="AR48" s="12"/>
      <c r="AS48" s="12"/>
      <c r="AT48" s="12"/>
      <c r="AU48" s="12"/>
      <c r="AV48" s="12"/>
    </row>
    <row r="49" customFormat="false" ht="12" hidden="false" customHeight="true" outlineLevel="0" collapsed="false">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2"/>
      <c r="AA49" s="12"/>
      <c r="AB49" s="12"/>
      <c r="AC49" s="12"/>
      <c r="AD49" s="12"/>
      <c r="AE49" s="12"/>
      <c r="AF49" s="12"/>
      <c r="AG49" s="12"/>
      <c r="AH49" s="12"/>
      <c r="AI49" s="12"/>
      <c r="AJ49" s="12"/>
      <c r="AK49" s="12"/>
      <c r="AL49" s="12"/>
      <c r="AM49" s="12"/>
      <c r="AN49" s="12"/>
      <c r="AO49" s="12"/>
      <c r="AP49" s="12"/>
      <c r="AQ49" s="12"/>
      <c r="AR49" s="12"/>
      <c r="AS49" s="12"/>
      <c r="AT49" s="12"/>
      <c r="AU49" s="12"/>
      <c r="AV49" s="12"/>
    </row>
    <row r="50" customFormat="false" ht="12" hidden="false" customHeight="true" outlineLevel="0" collapsed="false">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2"/>
      <c r="AA50" s="12"/>
      <c r="AB50" s="12"/>
      <c r="AC50" s="12"/>
      <c r="AD50" s="12"/>
      <c r="AE50" s="12"/>
      <c r="AF50" s="12"/>
      <c r="AG50" s="12"/>
      <c r="AH50" s="12"/>
      <c r="AI50" s="12"/>
      <c r="AJ50" s="12"/>
      <c r="AK50" s="12"/>
      <c r="AL50" s="12"/>
      <c r="AM50" s="12"/>
      <c r="AN50" s="12"/>
      <c r="AO50" s="12"/>
      <c r="AP50" s="12"/>
      <c r="AQ50" s="12"/>
      <c r="AR50" s="12"/>
      <c r="AS50" s="12"/>
      <c r="AT50" s="12"/>
      <c r="AU50" s="12"/>
      <c r="AV50" s="12"/>
    </row>
    <row r="51" customFormat="false" ht="12" hidden="false" customHeight="true" outlineLevel="0" collapsed="false">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2"/>
      <c r="AA51" s="12"/>
      <c r="AB51" s="12"/>
      <c r="AC51" s="12"/>
      <c r="AD51" s="12"/>
      <c r="AE51" s="12"/>
      <c r="AF51" s="12"/>
      <c r="AG51" s="12"/>
      <c r="AH51" s="12"/>
      <c r="AI51" s="12"/>
      <c r="AJ51" s="12"/>
      <c r="AK51" s="12"/>
      <c r="AL51" s="12"/>
      <c r="AM51" s="12"/>
      <c r="AN51" s="12"/>
      <c r="AO51" s="12"/>
      <c r="AP51" s="12"/>
      <c r="AQ51" s="12"/>
      <c r="AR51" s="12"/>
      <c r="AS51" s="12"/>
      <c r="AT51" s="12"/>
      <c r="AU51" s="12"/>
      <c r="AV51" s="12"/>
    </row>
    <row r="52" customFormat="false" ht="12" hidden="false" customHeight="true" outlineLevel="0" collapsed="false">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2"/>
      <c r="AA52" s="12"/>
      <c r="AB52" s="12"/>
      <c r="AC52" s="12"/>
      <c r="AD52" s="12"/>
      <c r="AE52" s="12"/>
      <c r="AF52" s="12"/>
      <c r="AG52" s="12"/>
      <c r="AH52" s="12"/>
      <c r="AI52" s="12"/>
      <c r="AJ52" s="12"/>
      <c r="AK52" s="12"/>
      <c r="AL52" s="12"/>
      <c r="AM52" s="12"/>
      <c r="AN52" s="12"/>
      <c r="AO52" s="12"/>
      <c r="AP52" s="12"/>
      <c r="AQ52" s="12"/>
      <c r="AR52" s="12"/>
      <c r="AS52" s="12"/>
      <c r="AT52" s="12"/>
      <c r="AU52" s="12"/>
      <c r="AV52" s="12"/>
    </row>
    <row r="53" customFormat="false" ht="12" hidden="false" customHeight="true" outlineLevel="0" collapsed="false">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2"/>
      <c r="AA53" s="12"/>
      <c r="AB53" s="12"/>
      <c r="AC53" s="12"/>
      <c r="AD53" s="12"/>
      <c r="AE53" s="12"/>
      <c r="AF53" s="12"/>
      <c r="AG53" s="12"/>
      <c r="AH53" s="12"/>
      <c r="AI53" s="12"/>
      <c r="AJ53" s="12"/>
      <c r="AK53" s="12"/>
      <c r="AL53" s="12"/>
      <c r="AM53" s="12"/>
      <c r="AN53" s="12"/>
      <c r="AO53" s="12"/>
      <c r="AP53" s="12"/>
      <c r="AQ53" s="12"/>
      <c r="AR53" s="12"/>
      <c r="AS53" s="12"/>
      <c r="AT53" s="12"/>
      <c r="AU53" s="12"/>
      <c r="AV53" s="12"/>
    </row>
    <row r="54" customFormat="false" ht="12" hidden="false" customHeight="true" outlineLevel="0" collapsed="false">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2"/>
      <c r="AA54" s="12"/>
      <c r="AB54" s="12"/>
      <c r="AC54" s="12"/>
      <c r="AD54" s="12"/>
      <c r="AE54" s="12"/>
      <c r="AF54" s="12"/>
      <c r="AG54" s="12"/>
      <c r="AH54" s="12"/>
      <c r="AI54" s="12"/>
      <c r="AJ54" s="12"/>
      <c r="AK54" s="12"/>
      <c r="AL54" s="12"/>
      <c r="AM54" s="12"/>
      <c r="AN54" s="12"/>
      <c r="AO54" s="12"/>
      <c r="AP54" s="12"/>
      <c r="AQ54" s="12"/>
      <c r="AR54" s="12"/>
      <c r="AS54" s="12"/>
      <c r="AT54" s="12"/>
      <c r="AU54" s="12"/>
      <c r="AV54" s="12"/>
    </row>
    <row r="55" customFormat="false" ht="12" hidden="false" customHeight="true" outlineLevel="0" collapsed="false">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2"/>
      <c r="AA55" s="12"/>
      <c r="AB55" s="12"/>
      <c r="AC55" s="12"/>
      <c r="AD55" s="12"/>
      <c r="AE55" s="12"/>
      <c r="AF55" s="12"/>
      <c r="AG55" s="12"/>
      <c r="AH55" s="12"/>
      <c r="AI55" s="12"/>
      <c r="AJ55" s="12"/>
      <c r="AK55" s="12"/>
      <c r="AL55" s="12"/>
      <c r="AM55" s="12"/>
      <c r="AN55" s="12"/>
      <c r="AO55" s="12"/>
      <c r="AP55" s="12"/>
      <c r="AQ55" s="12"/>
      <c r="AR55" s="12"/>
      <c r="AS55" s="12"/>
      <c r="AT55" s="12"/>
      <c r="AU55" s="12"/>
      <c r="AV55" s="12"/>
    </row>
    <row r="56" customFormat="false" ht="12" hidden="false" customHeight="true" outlineLevel="0" collapsed="false">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2"/>
      <c r="AA56" s="12"/>
      <c r="AB56" s="12"/>
      <c r="AC56" s="12"/>
      <c r="AD56" s="12"/>
      <c r="AE56" s="12"/>
      <c r="AF56" s="12"/>
      <c r="AG56" s="12"/>
      <c r="AH56" s="12"/>
      <c r="AI56" s="12"/>
      <c r="AJ56" s="12"/>
      <c r="AK56" s="12"/>
      <c r="AL56" s="12"/>
      <c r="AM56" s="12"/>
      <c r="AN56" s="12"/>
      <c r="AO56" s="12"/>
      <c r="AP56" s="12"/>
      <c r="AQ56" s="12"/>
      <c r="AR56" s="12"/>
      <c r="AS56" s="12"/>
      <c r="AT56" s="12"/>
      <c r="AU56" s="12"/>
      <c r="AV56" s="12"/>
    </row>
    <row r="57" customFormat="false" ht="12" hidden="false" customHeight="true" outlineLevel="0" collapsed="false">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2"/>
      <c r="AA57" s="12"/>
      <c r="AB57" s="12"/>
      <c r="AC57" s="12"/>
      <c r="AD57" s="12"/>
      <c r="AE57" s="12"/>
      <c r="AF57" s="12"/>
      <c r="AG57" s="12"/>
      <c r="AH57" s="12"/>
      <c r="AI57" s="12"/>
      <c r="AJ57" s="12"/>
      <c r="AK57" s="12"/>
      <c r="AL57" s="12"/>
      <c r="AM57" s="12"/>
      <c r="AN57" s="12"/>
      <c r="AO57" s="12"/>
      <c r="AP57" s="12"/>
      <c r="AQ57" s="12"/>
      <c r="AR57" s="12"/>
      <c r="AS57" s="12"/>
      <c r="AT57" s="12"/>
      <c r="AU57" s="12"/>
      <c r="AV57" s="12"/>
    </row>
    <row r="58" customFormat="false" ht="12" hidden="false" customHeight="true" outlineLevel="0" collapsed="false">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2"/>
      <c r="AA58" s="12"/>
      <c r="AB58" s="12"/>
      <c r="AC58" s="12"/>
      <c r="AD58" s="12"/>
      <c r="AE58" s="12"/>
      <c r="AF58" s="12"/>
      <c r="AG58" s="12"/>
      <c r="AH58" s="12"/>
      <c r="AI58" s="12"/>
      <c r="AJ58" s="12"/>
      <c r="AK58" s="12"/>
      <c r="AL58" s="12"/>
      <c r="AM58" s="12"/>
      <c r="AN58" s="12"/>
      <c r="AO58" s="12"/>
      <c r="AP58" s="12"/>
      <c r="AQ58" s="12"/>
      <c r="AR58" s="12"/>
      <c r="AS58" s="12"/>
      <c r="AT58" s="12"/>
      <c r="AU58" s="12"/>
      <c r="AV58" s="12"/>
    </row>
    <row r="59" customFormat="false" ht="12" hidden="false" customHeight="true" outlineLevel="0" collapsed="false">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row>
    <row r="60" customFormat="false" ht="12" hidden="false" customHeight="true" outlineLevel="0" collapsed="false">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row>
    <row r="61" customFormat="false" ht="12" hidden="false" customHeight="true" outlineLevel="0" collapsed="false">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row>
    <row r="62" customFormat="false" ht="12" hidden="false" customHeight="true" outlineLevel="0" collapsed="false">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row>
  </sheetData>
  <mergeCells count="1">
    <mergeCell ref="A1:Y5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2"/>
  <sheetViews>
    <sheetView showFormulas="false" showGridLines="true" showRowColHeaders="true" showZeros="true" rightToLeft="false" tabSelected="false" showOutlineSymbols="true" defaultGridColor="true" view="normal" topLeftCell="A4" colorId="64" zoomScale="52" zoomScaleNormal="52" zoomScalePageLayoutView="100" workbookViewId="0">
      <selection pane="topLeft" activeCell="A8" activeCellId="0" sqref="A8"/>
    </sheetView>
  </sheetViews>
  <sheetFormatPr defaultColWidth="58.00390625" defaultRowHeight="12.5" customHeight="false" zeroHeight="false" outlineLevelRow="0" outlineLevelCol="0"/>
  <cols>
    <col collapsed="false" customWidth="true" hidden="false" outlineLevel="0" max="1" min="1" style="1" width="14.82"/>
    <col collapsed="false" customWidth="true" hidden="false" outlineLevel="0" max="2" min="2" style="1" width="38.36"/>
    <col collapsed="false" customWidth="true" hidden="false" outlineLevel="0" max="3" min="3" style="1" width="27.63"/>
    <col collapsed="false" customWidth="true" hidden="false" outlineLevel="0" max="4" min="4" style="1" width="27.27"/>
    <col collapsed="false" customWidth="true" hidden="false" outlineLevel="0" max="5" min="5" style="1" width="35.82"/>
    <col collapsed="false" customWidth="true" hidden="false" outlineLevel="0" max="6" min="6" style="1" width="32.09"/>
    <col collapsed="false" customWidth="true" hidden="false" outlineLevel="0" max="7" min="7" style="1" width="34.09"/>
  </cols>
  <sheetData>
    <row r="1" customFormat="false" ht="16.5" hidden="false" customHeight="true" outlineLevel="0" collapsed="false">
      <c r="A1" s="48" t="s">
        <v>140</v>
      </c>
      <c r="B1" s="48" t="s">
        <v>141</v>
      </c>
      <c r="C1" s="49"/>
      <c r="D1" s="49"/>
      <c r="E1" s="49"/>
      <c r="F1" s="49"/>
      <c r="G1" s="49"/>
    </row>
    <row r="2" customFormat="false" ht="16.5" hidden="false" customHeight="true" outlineLevel="0" collapsed="false">
      <c r="A2" s="50" t="s">
        <v>142</v>
      </c>
      <c r="B2" s="50" t="s">
        <v>143</v>
      </c>
      <c r="C2" s="50"/>
      <c r="D2" s="50"/>
      <c r="E2" s="50"/>
      <c r="F2" s="50"/>
      <c r="G2" s="50"/>
    </row>
    <row r="3" customFormat="false" ht="16.5" hidden="false" customHeight="true" outlineLevel="0" collapsed="false">
      <c r="A3" s="50" t="s">
        <v>144</v>
      </c>
      <c r="B3" s="50" t="s">
        <v>145</v>
      </c>
      <c r="C3" s="50"/>
      <c r="D3" s="50"/>
      <c r="E3" s="50"/>
      <c r="F3" s="50"/>
      <c r="G3" s="50"/>
    </row>
    <row r="4" customFormat="false" ht="16.5" hidden="false" customHeight="true" outlineLevel="0" collapsed="false">
      <c r="A4" s="50" t="s">
        <v>98</v>
      </c>
      <c r="B4" s="51" t="s">
        <v>146</v>
      </c>
      <c r="C4" s="50"/>
      <c r="D4" s="50"/>
      <c r="E4" s="50"/>
      <c r="F4" s="50"/>
      <c r="G4" s="50"/>
    </row>
    <row r="5" customFormat="false" ht="16.5" hidden="false" customHeight="true" outlineLevel="0" collapsed="false">
      <c r="A5" s="50" t="s">
        <v>147</v>
      </c>
      <c r="B5" s="52"/>
      <c r="C5" s="49"/>
      <c r="D5" s="49"/>
      <c r="E5" s="49"/>
      <c r="F5" s="49"/>
      <c r="G5" s="49"/>
    </row>
    <row r="6" customFormat="false" ht="16.5" hidden="false" customHeight="true" outlineLevel="0" collapsed="false">
      <c r="A6" s="53" t="s">
        <v>148</v>
      </c>
      <c r="B6" s="53"/>
      <c r="C6" s="53"/>
      <c r="D6" s="53"/>
      <c r="E6" s="53"/>
      <c r="F6" s="53"/>
      <c r="G6" s="53"/>
    </row>
    <row r="7" customFormat="false" ht="16.5" hidden="false" customHeight="true" outlineLevel="0" collapsed="false">
      <c r="A7" s="54" t="s">
        <v>149</v>
      </c>
      <c r="B7" s="55" t="s">
        <v>150</v>
      </c>
      <c r="C7" s="55" t="s">
        <v>151</v>
      </c>
      <c r="D7" s="55" t="s">
        <v>152</v>
      </c>
      <c r="E7" s="55" t="s">
        <v>153</v>
      </c>
      <c r="F7" s="55" t="s">
        <v>154</v>
      </c>
      <c r="G7" s="55" t="s">
        <v>155</v>
      </c>
    </row>
    <row r="8" customFormat="false" ht="16.5" hidden="false" customHeight="true" outlineLevel="0" collapsed="false">
      <c r="A8" s="56" t="n">
        <v>1</v>
      </c>
      <c r="B8" s="57" t="s">
        <v>156</v>
      </c>
      <c r="C8" s="58" t="s">
        <v>157</v>
      </c>
      <c r="D8" s="59" t="s">
        <v>158</v>
      </c>
      <c r="E8" s="59" t="s">
        <v>159</v>
      </c>
      <c r="F8" s="59" t="s">
        <v>160</v>
      </c>
      <c r="G8" s="58" t="s">
        <v>161</v>
      </c>
    </row>
    <row r="9" customFormat="false" ht="16.5" hidden="false" customHeight="true" outlineLevel="0" collapsed="false">
      <c r="A9" s="56" t="n">
        <v>2</v>
      </c>
      <c r="B9" s="57" t="s">
        <v>162</v>
      </c>
      <c r="C9" s="58" t="s">
        <v>163</v>
      </c>
      <c r="D9" s="59" t="s">
        <v>164</v>
      </c>
      <c r="E9" s="58" t="s">
        <v>165</v>
      </c>
      <c r="F9" s="59" t="s">
        <v>166</v>
      </c>
      <c r="G9" s="58" t="s">
        <v>167</v>
      </c>
    </row>
    <row r="10" customFormat="false" ht="16.5" hidden="false" customHeight="true" outlineLevel="0" collapsed="false">
      <c r="A10" s="56" t="n">
        <v>3</v>
      </c>
      <c r="B10" s="57" t="s">
        <v>168</v>
      </c>
      <c r="C10" s="59" t="s">
        <v>169</v>
      </c>
      <c r="D10" s="58" t="s">
        <v>170</v>
      </c>
      <c r="E10" s="58" t="s">
        <v>171</v>
      </c>
      <c r="F10" s="58" t="s">
        <v>172</v>
      </c>
      <c r="G10" s="58" t="s">
        <v>173</v>
      </c>
    </row>
    <row r="11" customFormat="false" ht="16.5" hidden="false" customHeight="true" outlineLevel="0" collapsed="false">
      <c r="A11" s="56" t="n">
        <v>4</v>
      </c>
      <c r="B11" s="57" t="s">
        <v>174</v>
      </c>
      <c r="C11" s="58" t="s">
        <v>175</v>
      </c>
      <c r="D11" s="59" t="s">
        <v>176</v>
      </c>
      <c r="E11" s="58" t="s">
        <v>177</v>
      </c>
      <c r="F11" s="58" t="s">
        <v>178</v>
      </c>
      <c r="G11" s="58" t="s">
        <v>179</v>
      </c>
    </row>
    <row r="12" customFormat="false" ht="16.5" hidden="false" customHeight="true" outlineLevel="0" collapsed="false">
      <c r="A12" s="56" t="n">
        <v>5</v>
      </c>
      <c r="B12" s="57" t="s">
        <v>180</v>
      </c>
      <c r="C12" s="58" t="s">
        <v>181</v>
      </c>
      <c r="D12" s="58" t="s">
        <v>182</v>
      </c>
      <c r="E12" s="58" t="s">
        <v>183</v>
      </c>
      <c r="F12" s="58" t="s">
        <v>184</v>
      </c>
      <c r="G12" s="58" t="s">
        <v>185</v>
      </c>
    </row>
    <row r="13" customFormat="false" ht="16.5" hidden="false" customHeight="true" outlineLevel="0" collapsed="false">
      <c r="A13" s="56" t="n">
        <v>6</v>
      </c>
      <c r="B13" s="57" t="s">
        <v>186</v>
      </c>
      <c r="C13" s="59" t="s">
        <v>187</v>
      </c>
      <c r="D13" s="58" t="s">
        <v>188</v>
      </c>
      <c r="E13" s="59" t="s">
        <v>189</v>
      </c>
      <c r="F13" s="58" t="s">
        <v>190</v>
      </c>
      <c r="G13" s="58" t="s">
        <v>191</v>
      </c>
    </row>
    <row r="14" customFormat="false" ht="16.5" hidden="false" customHeight="true" outlineLevel="0" collapsed="false">
      <c r="A14" s="56" t="n">
        <v>7</v>
      </c>
      <c r="B14" s="57" t="s">
        <v>192</v>
      </c>
      <c r="C14" s="59" t="s">
        <v>193</v>
      </c>
      <c r="D14" s="58" t="s">
        <v>194</v>
      </c>
      <c r="E14" s="58" t="s">
        <v>195</v>
      </c>
      <c r="F14" s="59" t="s">
        <v>196</v>
      </c>
      <c r="G14" s="59" t="s">
        <v>197</v>
      </c>
    </row>
    <row r="15" customFormat="false" ht="16.5" hidden="false" customHeight="true" outlineLevel="0" collapsed="false">
      <c r="A15" s="56" t="n">
        <v>8</v>
      </c>
      <c r="B15" s="57" t="s">
        <v>198</v>
      </c>
      <c r="C15" s="59" t="s">
        <v>199</v>
      </c>
      <c r="D15" s="59" t="s">
        <v>200</v>
      </c>
      <c r="E15" s="59" t="s">
        <v>201</v>
      </c>
      <c r="F15" s="58" t="s">
        <v>202</v>
      </c>
      <c r="G15" s="58" t="s">
        <v>203</v>
      </c>
    </row>
    <row r="16" customFormat="false" ht="16.5" hidden="false" customHeight="true" outlineLevel="0" collapsed="false">
      <c r="A16" s="56" t="n">
        <v>9</v>
      </c>
      <c r="B16" s="57" t="s">
        <v>204</v>
      </c>
      <c r="C16" s="59" t="s">
        <v>205</v>
      </c>
      <c r="D16" s="58" t="s">
        <v>206</v>
      </c>
      <c r="E16" s="58" t="s">
        <v>207</v>
      </c>
      <c r="F16" s="58" t="s">
        <v>208</v>
      </c>
      <c r="G16" s="58" t="s">
        <v>209</v>
      </c>
    </row>
    <row r="17" customFormat="false" ht="16.5" hidden="false" customHeight="true" outlineLevel="0" collapsed="false">
      <c r="A17" s="56" t="n">
        <v>10</v>
      </c>
      <c r="B17" s="57" t="s">
        <v>210</v>
      </c>
      <c r="C17" s="58" t="s">
        <v>211</v>
      </c>
      <c r="D17" s="59" t="s">
        <v>212</v>
      </c>
      <c r="E17" s="58" t="s">
        <v>213</v>
      </c>
      <c r="F17" s="58" t="s">
        <v>214</v>
      </c>
      <c r="G17" s="58" t="s">
        <v>215</v>
      </c>
    </row>
    <row r="18" customFormat="false" ht="16.5" hidden="false" customHeight="true" outlineLevel="0" collapsed="false">
      <c r="A18" s="50"/>
      <c r="B18" s="60"/>
      <c r="C18" s="60"/>
      <c r="D18" s="60"/>
      <c r="E18" s="60"/>
      <c r="F18" s="60"/>
      <c r="G18" s="60"/>
    </row>
    <row r="19" customFormat="false" ht="16.5" hidden="false" customHeight="true" outlineLevel="0" collapsed="false">
      <c r="A19" s="50"/>
      <c r="B19" s="60"/>
      <c r="C19" s="60"/>
      <c r="D19" s="60"/>
      <c r="E19" s="60"/>
      <c r="F19" s="60"/>
      <c r="G19" s="60"/>
    </row>
    <row r="20" customFormat="false" ht="16.5" hidden="false" customHeight="true" outlineLevel="0" collapsed="false">
      <c r="A20" s="50"/>
      <c r="B20" s="60"/>
      <c r="C20" s="60"/>
      <c r="D20" s="60"/>
      <c r="E20" s="60"/>
      <c r="F20" s="60"/>
      <c r="G20" s="60"/>
    </row>
    <row r="21" customFormat="false" ht="16.5" hidden="false" customHeight="true" outlineLevel="0" collapsed="false">
      <c r="A21" s="60"/>
      <c r="B21" s="60"/>
      <c r="C21" s="60"/>
      <c r="D21" s="60"/>
      <c r="E21" s="60"/>
      <c r="F21" s="60"/>
      <c r="G21" s="60"/>
    </row>
    <row r="22" customFormat="false" ht="16.5" hidden="false" customHeight="true" outlineLevel="0" collapsed="false">
      <c r="A22" s="60"/>
      <c r="B22" s="60"/>
      <c r="C22" s="60"/>
      <c r="D22" s="60"/>
      <c r="E22" s="60"/>
      <c r="F22" s="60"/>
      <c r="G22" s="60"/>
    </row>
    <row r="23" customFormat="false" ht="16.5" hidden="false" customHeight="true" outlineLevel="0" collapsed="false">
      <c r="A23" s="60"/>
      <c r="B23" s="60"/>
      <c r="C23" s="60"/>
      <c r="D23" s="60"/>
      <c r="E23" s="60"/>
      <c r="F23" s="60"/>
      <c r="G23" s="60"/>
    </row>
    <row r="24" customFormat="false" ht="16.5" hidden="false" customHeight="true" outlineLevel="0" collapsed="false">
      <c r="A24" s="60"/>
      <c r="B24" s="60"/>
      <c r="C24" s="60"/>
      <c r="D24" s="60"/>
      <c r="E24" s="60"/>
      <c r="F24" s="60"/>
      <c r="G24" s="60"/>
    </row>
    <row r="25" customFormat="false" ht="16.5" hidden="false" customHeight="true" outlineLevel="0" collapsed="false">
      <c r="A25" s="60"/>
      <c r="B25" s="60"/>
      <c r="C25" s="60"/>
      <c r="D25" s="60"/>
      <c r="E25" s="60"/>
      <c r="F25" s="60"/>
      <c r="G25" s="60"/>
    </row>
    <row r="26" customFormat="false" ht="16.5" hidden="false" customHeight="true" outlineLevel="0" collapsed="false">
      <c r="A26" s="60"/>
      <c r="B26" s="60"/>
      <c r="C26" s="60"/>
      <c r="D26" s="60"/>
      <c r="E26" s="60"/>
      <c r="F26" s="60"/>
      <c r="G26" s="60"/>
    </row>
    <row r="27" customFormat="false" ht="16.5" hidden="false" customHeight="true" outlineLevel="0" collapsed="false">
      <c r="A27" s="60"/>
      <c r="B27" s="60"/>
      <c r="C27" s="60"/>
      <c r="D27" s="60"/>
      <c r="E27" s="60"/>
      <c r="F27" s="60"/>
      <c r="G27" s="60"/>
    </row>
    <row r="28" customFormat="false" ht="16.5" hidden="false" customHeight="true" outlineLevel="0" collapsed="false">
      <c r="A28" s="60"/>
      <c r="B28" s="60"/>
      <c r="C28" s="60"/>
      <c r="D28" s="60"/>
      <c r="E28" s="60"/>
      <c r="F28" s="60"/>
      <c r="G28" s="60"/>
    </row>
    <row r="29" customFormat="false" ht="16.5" hidden="false" customHeight="true" outlineLevel="0" collapsed="false">
      <c r="A29" s="60"/>
      <c r="B29" s="60"/>
      <c r="C29" s="60"/>
      <c r="D29" s="60"/>
      <c r="E29" s="60"/>
      <c r="F29" s="60"/>
      <c r="G29" s="60"/>
    </row>
    <row r="30" customFormat="false" ht="16.5" hidden="false" customHeight="true" outlineLevel="0" collapsed="false">
      <c r="A30" s="60"/>
      <c r="B30" s="60"/>
      <c r="C30" s="60"/>
      <c r="D30" s="60"/>
      <c r="E30" s="60"/>
      <c r="F30" s="60"/>
      <c r="G30" s="60"/>
    </row>
    <row r="31" customFormat="false" ht="16.5" hidden="false" customHeight="true" outlineLevel="0" collapsed="false">
      <c r="A31" s="60"/>
      <c r="B31" s="60"/>
      <c r="C31" s="60"/>
      <c r="D31" s="60"/>
      <c r="E31" s="60"/>
      <c r="F31" s="60"/>
      <c r="G31" s="60"/>
    </row>
    <row r="32" customFormat="false" ht="16.5" hidden="false" customHeight="true" outlineLevel="0" collapsed="false">
      <c r="A32" s="60"/>
      <c r="B32" s="60"/>
      <c r="C32" s="60"/>
      <c r="D32" s="60"/>
      <c r="E32" s="60"/>
      <c r="F32" s="60"/>
      <c r="G32" s="60"/>
    </row>
  </sheetData>
  <mergeCells count="1">
    <mergeCell ref="A6:G6"/>
  </mergeCells>
  <hyperlinks>
    <hyperlink ref="C8" r:id="rId1" display="https://www.prepbytes.com/"/>
    <hyperlink ref="D8" r:id="rId2" display="https://www.instagram.com/prepbytes"/>
    <hyperlink ref="E8" r:id="rId3" display="https://x.com/prepbytes0211"/>
    <hyperlink ref="F8" r:id="rId4" display="https://www.linkedin.com/company/prepbytes/"/>
    <hyperlink ref="G8" r:id="rId5" display="https://www.facebook.com/prepbytes0211/"/>
    <hyperlink ref="C9" r:id="rId6" display="https://internshala.com/"/>
    <hyperlink ref="D9" r:id="rId7" display="https://www.instagram.com/internshala"/>
    <hyperlink ref="E9" r:id="rId8" display="https://x.com/Internshala"/>
    <hyperlink ref="F9" r:id="rId9" display="https://www.linkedin.com/company/internshala/"/>
    <hyperlink ref="G9" r:id="rId10" display="https://www.facebook.com/Internshala/"/>
    <hyperlink ref="C10" r:id="rId11" display="https://unstop.com"/>
    <hyperlink ref="D10" r:id="rId12" display="https://www.instagram.com/unstop.world"/>
    <hyperlink ref="E10" r:id="rId13" display="https://x.com/Unstop_World"/>
    <hyperlink ref="F10" r:id="rId14" display="https://www.linkedin.com/company/unstop/"/>
    <hyperlink ref="G10" r:id="rId15" display="https://www.facebook.com/Unstop.World/"/>
    <hyperlink ref="C11" r:id="rId16" display="https://www.eventbeep.com/en"/>
    <hyperlink ref="D11" r:id="rId17" display="https://www.instagram.com/beepappofficial"/>
    <hyperlink ref="E11" r:id="rId18" display="https://x.com/event_beep"/>
    <hyperlink ref="F11" r:id="rId19" display="https://www.linkedin.com/company/beepappofficial/"/>
    <hyperlink ref="G11" r:id="rId20" display="https://www.facebook.com/EventBeep/"/>
    <hyperlink ref="C12" r:id="rId21" display="https://www.scaler.com/"/>
    <hyperlink ref="D12" r:id="rId22" display="https://www.instagram.com/scaler_official"/>
    <hyperlink ref="E12" r:id="rId23" display="https://x.com/scaler_official"/>
    <hyperlink ref="F12" r:id="rId24" display="https://www.linkedin.com/school/scalerofficial/"/>
    <hyperlink ref="G12" r:id="rId25" display="https://www.facebook.com/scalerofficial/"/>
    <hyperlink ref="C13" r:id="rId26" display="https://www.simplilearn.com/"/>
    <hyperlink ref="D13" r:id="rId27" display="https://www.instagram.com/simplilearn_official"/>
    <hyperlink ref="E13" r:id="rId28" display="https://x.com/simplilearn"/>
    <hyperlink ref="F13" r:id="rId29" display="https://www.linkedin.com/company/simplilearn/"/>
    <hyperlink ref="G13" r:id="rId30" display="https://www.facebook.com/SimplilearnIndia/"/>
    <hyperlink ref="C14" r:id="rId31" display="https://www.codingblocks.com/"/>
    <hyperlink ref="D14" r:id="rId32" display="https://www.instagram.com/codingblocks"/>
    <hyperlink ref="E14" r:id="rId33" display="https://x.com/CodingBlocksIn"/>
    <hyperlink ref="F14" r:id="rId34" display="https://www.linkedin.com/school/codingblocksindia/"/>
    <hyperlink ref="G14" r:id="rId35" display="https://www.facebook.com/codingblocksindia/"/>
    <hyperlink ref="C15" r:id="rId36" display="https://www.upgrad.com/"/>
    <hyperlink ref="D15" r:id="rId37" display="https://www.instagram.com/upgrad_edu"/>
    <hyperlink ref="E15" r:id="rId38" display="https://x.com/upGrad_edu"/>
    <hyperlink ref="F15" r:id="rId39" display="https://www.linkedin.com/company/ueducation/"/>
    <hyperlink ref="G15" r:id="rId40" display="https://www.facebook.com/upGradGlobal/"/>
    <hyperlink ref="C16" r:id="rId41" display="https://www.mygreatlearning.com/"/>
    <hyperlink ref="D16" r:id="rId42" display="https://www.instagram.com/greatlearningofficial"/>
    <hyperlink ref="E16" r:id="rId43" display="https://x.com/Great_Learning"/>
    <hyperlink ref="F16" r:id="rId44" display="https://www.linkedin.com/school/great-learning/"/>
    <hyperlink ref="G16" r:id="rId45" display="https://www.facebook.com/GreatLearningOfficial/"/>
    <hyperlink ref="C17" r:id="rId46" display="https://www.codingninjas.com/"/>
    <hyperlink ref="D17" r:id="rId47" display="https://www.instagram.com/coding.ninjas"/>
    <hyperlink ref="E17" r:id="rId48" display="https://x.com/CodingNinjasOff"/>
    <hyperlink ref="F17" r:id="rId49" display="https://www.linkedin.com/school/codingninjas/"/>
    <hyperlink ref="G17" r:id="rId50" display="https://www.facebook.com/codingninjas/"/>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9"/>
  <sheetViews>
    <sheetView showFormulas="false" showGridLines="true" showRowColHeaders="true" showZeros="true" rightToLeft="false" tabSelected="false" showOutlineSymbols="true" defaultGridColor="true" view="normal" topLeftCell="B28" colorId="64" zoomScale="32" zoomScaleNormal="32" zoomScalePageLayoutView="100" workbookViewId="0">
      <selection pane="topLeft" activeCell="E59" activeCellId="0" sqref="E59"/>
    </sheetView>
  </sheetViews>
  <sheetFormatPr defaultColWidth="10.00390625" defaultRowHeight="12.5" customHeight="false" zeroHeight="false" outlineLevelRow="0" outlineLevelCol="0"/>
  <cols>
    <col collapsed="false" customWidth="true" hidden="false" outlineLevel="0" max="1" min="1" style="1" width="5.18"/>
    <col collapsed="false" customWidth="true" hidden="false" outlineLevel="0" max="2" min="2" style="1" width="37.54"/>
    <col collapsed="false" customWidth="true" hidden="false" outlineLevel="0" max="3" min="3" style="1" width="10.72"/>
    <col collapsed="false" customWidth="true" hidden="false" outlineLevel="0" max="4" min="4" style="1" width="53.36"/>
    <col collapsed="false" customWidth="true" hidden="false" outlineLevel="0" max="5" min="5" style="1" width="46.09"/>
    <col collapsed="false" customWidth="true" hidden="false" outlineLevel="0" max="6" min="6" style="1" width="46.63"/>
    <col collapsed="false" customWidth="true" hidden="false" outlineLevel="0" max="7" min="7" style="1" width="29.36"/>
    <col collapsed="false" customWidth="true" hidden="false" outlineLevel="0" max="8" min="8" style="1" width="30.63"/>
    <col collapsed="false" customWidth="true" hidden="false" outlineLevel="0" max="10" min="10" style="1" width="24"/>
    <col collapsed="false" customWidth="false" hidden="false" outlineLevel="0" max="11" min="11" style="1" width="10"/>
  </cols>
  <sheetData>
    <row r="1" customFormat="false" ht="19.5" hidden="false" customHeight="true" outlineLevel="0" collapsed="false">
      <c r="A1" s="61" t="s">
        <v>216</v>
      </c>
      <c r="B1" s="61"/>
      <c r="C1" s="61"/>
      <c r="D1" s="61"/>
      <c r="E1" s="61"/>
      <c r="F1" s="61"/>
      <c r="G1" s="61"/>
      <c r="H1" s="61"/>
    </row>
    <row r="2" customFormat="false" ht="19.5" hidden="false" customHeight="true" outlineLevel="0" collapsed="false">
      <c r="A2" s="61"/>
      <c r="B2" s="61"/>
      <c r="C2" s="61"/>
      <c r="D2" s="61"/>
      <c r="E2" s="61"/>
      <c r="F2" s="61"/>
      <c r="G2" s="61"/>
      <c r="H2" s="61"/>
    </row>
    <row r="3" customFormat="false" ht="19.5" hidden="false" customHeight="true" outlineLevel="0" collapsed="false">
      <c r="A3" s="62" t="s">
        <v>149</v>
      </c>
      <c r="B3" s="63" t="s">
        <v>217</v>
      </c>
      <c r="C3" s="64" t="s">
        <v>218</v>
      </c>
      <c r="D3" s="64" t="s">
        <v>219</v>
      </c>
      <c r="E3" s="64" t="s">
        <v>220</v>
      </c>
      <c r="F3" s="65" t="s">
        <v>221</v>
      </c>
      <c r="G3" s="64" t="s">
        <v>222</v>
      </c>
      <c r="H3" s="64" t="s">
        <v>223</v>
      </c>
    </row>
    <row r="4" customFormat="false" ht="176.25" hidden="false" customHeight="true" outlineLevel="0" collapsed="false">
      <c r="B4" s="66" t="s">
        <v>224</v>
      </c>
      <c r="E4" s="67" t="s">
        <v>225</v>
      </c>
      <c r="F4" s="68" t="s">
        <v>226</v>
      </c>
      <c r="G4" s="69" t="s">
        <v>227</v>
      </c>
      <c r="H4" s="70" t="s">
        <v>228</v>
      </c>
    </row>
    <row r="5" customFormat="false" ht="19.5" hidden="false" customHeight="true" outlineLevel="0" collapsed="false">
      <c r="B5" s="71" t="s">
        <v>229</v>
      </c>
      <c r="E5" s="67"/>
      <c r="F5" s="68" t="s">
        <v>230</v>
      </c>
      <c r="G5" s="70"/>
      <c r="H5" s="70"/>
    </row>
    <row r="6" customFormat="false" ht="19.5" hidden="false" customHeight="true" outlineLevel="0" collapsed="false">
      <c r="B6" s="72" t="s">
        <v>231</v>
      </c>
      <c r="E6" s="67"/>
      <c r="F6" s="68" t="s">
        <v>232</v>
      </c>
      <c r="G6" s="70"/>
      <c r="H6" s="70"/>
    </row>
    <row r="7" customFormat="false" ht="19.5" hidden="false" customHeight="true" outlineLevel="0" collapsed="false">
      <c r="B7" s="73" t="s">
        <v>233</v>
      </c>
      <c r="E7" s="67"/>
      <c r="F7" s="68" t="s">
        <v>234</v>
      </c>
      <c r="G7" s="70"/>
      <c r="H7" s="70"/>
    </row>
    <row r="8" customFormat="false" ht="19.5" hidden="false" customHeight="true" outlineLevel="0" collapsed="false">
      <c r="B8" s="74" t="s">
        <v>235</v>
      </c>
      <c r="E8" s="67"/>
      <c r="F8" s="68" t="s">
        <v>236</v>
      </c>
      <c r="G8" s="70"/>
      <c r="H8" s="70"/>
    </row>
    <row r="9" customFormat="false" ht="19.5" hidden="false" customHeight="true" outlineLevel="0" collapsed="false">
      <c r="B9" s="75" t="s">
        <v>237</v>
      </c>
      <c r="E9" s="67"/>
      <c r="F9" s="68" t="s">
        <v>238</v>
      </c>
      <c r="G9" s="70"/>
      <c r="H9" s="70"/>
    </row>
    <row r="10" customFormat="false" ht="19.5" hidden="false" customHeight="true" outlineLevel="0" collapsed="false">
      <c r="B10" s="76" t="s">
        <v>239</v>
      </c>
      <c r="E10" s="67"/>
      <c r="F10" s="68" t="s">
        <v>240</v>
      </c>
      <c r="G10" s="70"/>
      <c r="H10" s="70"/>
    </row>
    <row r="11" customFormat="false" ht="19.5" hidden="false" customHeight="true" outlineLevel="0" collapsed="false">
      <c r="B11" s="77" t="s">
        <v>241</v>
      </c>
      <c r="E11" s="67"/>
      <c r="F11" s="68" t="s">
        <v>242</v>
      </c>
      <c r="G11" s="70"/>
      <c r="H11" s="70"/>
    </row>
    <row r="12" customFormat="false" ht="19.5" hidden="false" customHeight="true" outlineLevel="0" collapsed="false">
      <c r="B12" s="78" t="s">
        <v>243</v>
      </c>
      <c r="E12" s="67"/>
      <c r="F12" s="68" t="s">
        <v>244</v>
      </c>
      <c r="G12" s="70"/>
      <c r="H12" s="70"/>
    </row>
    <row r="13" customFormat="false" ht="19.5" hidden="false" customHeight="true" outlineLevel="0" collapsed="false">
      <c r="B13" s="79" t="s">
        <v>245</v>
      </c>
      <c r="E13" s="67"/>
      <c r="G13" s="70"/>
      <c r="H13" s="70"/>
    </row>
    <row r="14" customFormat="false" ht="19.5" hidden="false" customHeight="true" outlineLevel="0" collapsed="false">
      <c r="B14" s="80" t="s">
        <v>246</v>
      </c>
      <c r="E14" s="67"/>
      <c r="G14" s="70"/>
      <c r="H14" s="70"/>
    </row>
    <row r="15" customFormat="false" ht="19.5" hidden="false" customHeight="true" outlineLevel="0" collapsed="false">
      <c r="B15" s="81" t="s">
        <v>247</v>
      </c>
      <c r="E15" s="67"/>
      <c r="G15" s="70"/>
      <c r="H15" s="70"/>
    </row>
    <row r="16" customFormat="false" ht="19.5" hidden="false" customHeight="true" outlineLevel="0" collapsed="false">
      <c r="B16" s="82" t="s">
        <v>248</v>
      </c>
      <c r="E16" s="67"/>
      <c r="G16" s="70"/>
      <c r="H16" s="70"/>
    </row>
    <row r="17" customFormat="false" ht="19.5" hidden="false" customHeight="true" outlineLevel="0" collapsed="false">
      <c r="B17" s="83" t="s">
        <v>249</v>
      </c>
      <c r="E17" s="67"/>
      <c r="G17" s="70"/>
      <c r="H17" s="70"/>
    </row>
    <row r="18" customFormat="false" ht="19.5" hidden="false" customHeight="true" outlineLevel="0" collapsed="false">
      <c r="B18" s="84" t="s">
        <v>250</v>
      </c>
      <c r="E18" s="67"/>
      <c r="G18" s="70"/>
      <c r="H18" s="70"/>
    </row>
    <row r="19" customFormat="false" ht="19.5" hidden="false" customHeight="true" outlineLevel="0" collapsed="false">
      <c r="B19" s="85" t="s">
        <v>251</v>
      </c>
      <c r="E19" s="67"/>
      <c r="G19" s="70"/>
      <c r="H19" s="70"/>
    </row>
    <row r="20" customFormat="false" ht="19.5" hidden="false" customHeight="true" outlineLevel="0" collapsed="false">
      <c r="B20" s="86" t="s">
        <v>252</v>
      </c>
      <c r="E20" s="67"/>
      <c r="G20" s="70"/>
      <c r="H20" s="70"/>
    </row>
    <row r="21" customFormat="false" ht="19.5" hidden="false" customHeight="true" outlineLevel="0" collapsed="false">
      <c r="B21" s="87" t="s">
        <v>253</v>
      </c>
      <c r="E21" s="67"/>
      <c r="G21" s="70"/>
      <c r="H21" s="70"/>
    </row>
    <row r="22" customFormat="false" ht="19.5" hidden="false" customHeight="true" outlineLevel="0" collapsed="false">
      <c r="B22" s="88" t="s">
        <v>254</v>
      </c>
      <c r="E22" s="67"/>
      <c r="G22" s="70"/>
      <c r="H22" s="70"/>
    </row>
    <row r="23" customFormat="false" ht="19.5" hidden="false" customHeight="true" outlineLevel="0" collapsed="false">
      <c r="B23" s="89" t="s">
        <v>255</v>
      </c>
      <c r="E23" s="67"/>
      <c r="G23" s="70"/>
      <c r="H23" s="70"/>
    </row>
    <row r="24" customFormat="false" ht="19.5" hidden="false" customHeight="true" outlineLevel="0" collapsed="false">
      <c r="A24" s="62" t="s">
        <v>149</v>
      </c>
      <c r="B24" s="64" t="s">
        <v>256</v>
      </c>
      <c r="C24" s="64" t="s">
        <v>218</v>
      </c>
      <c r="D24" s="64" t="s">
        <v>219</v>
      </c>
      <c r="E24" s="64" t="s">
        <v>220</v>
      </c>
      <c r="F24" s="64" t="s">
        <v>257</v>
      </c>
      <c r="G24" s="64" t="s">
        <v>222</v>
      </c>
      <c r="H24" s="64" t="s">
        <v>223</v>
      </c>
    </row>
    <row r="25" customFormat="false" ht="203.25" hidden="false" customHeight="true" outlineLevel="0" collapsed="false">
      <c r="A25" s="1" t="n">
        <v>1</v>
      </c>
      <c r="B25" s="90" t="s">
        <v>249</v>
      </c>
      <c r="C25" s="1" t="s">
        <v>258</v>
      </c>
      <c r="D25" s="1" t="s">
        <v>258</v>
      </c>
      <c r="E25" s="91" t="s">
        <v>259</v>
      </c>
      <c r="F25" s="1" t="s">
        <v>260</v>
      </c>
      <c r="G25" s="92" t="s">
        <v>261</v>
      </c>
      <c r="H25" s="68" t="s">
        <v>262</v>
      </c>
    </row>
    <row r="26" customFormat="false" ht="184.5" hidden="false" customHeight="true" outlineLevel="0" collapsed="false">
      <c r="A26" s="1" t="n">
        <v>2</v>
      </c>
      <c r="B26" s="66" t="s">
        <v>224</v>
      </c>
      <c r="C26" s="93" t="s">
        <v>263</v>
      </c>
      <c r="D26" s="94" t="n">
        <v>0.708333333333333</v>
      </c>
      <c r="E26" s="92" t="s">
        <v>264</v>
      </c>
      <c r="F26" s="68" t="s">
        <v>265</v>
      </c>
      <c r="G26" s="92" t="s">
        <v>266</v>
      </c>
      <c r="H26" s="95" t="s">
        <v>267</v>
      </c>
    </row>
    <row r="27" customFormat="false" ht="19.5" hidden="false" customHeight="true" outlineLevel="0" collapsed="false">
      <c r="A27" s="61" t="s">
        <v>216</v>
      </c>
      <c r="B27" s="61"/>
      <c r="C27" s="61"/>
      <c r="D27" s="61"/>
      <c r="E27" s="61"/>
      <c r="F27" s="61"/>
      <c r="G27" s="61"/>
      <c r="H27" s="61"/>
    </row>
    <row r="28" customFormat="false" ht="19.5" hidden="false" customHeight="true" outlineLevel="0" collapsed="false">
      <c r="A28" s="61"/>
      <c r="B28" s="61"/>
      <c r="C28" s="61"/>
      <c r="D28" s="61"/>
      <c r="E28" s="61"/>
      <c r="F28" s="61"/>
      <c r="G28" s="61"/>
      <c r="H28" s="61"/>
    </row>
    <row r="29" customFormat="false" ht="19.5" hidden="false" customHeight="true" outlineLevel="0" collapsed="false">
      <c r="A29" s="62" t="s">
        <v>149</v>
      </c>
      <c r="B29" s="64" t="s">
        <v>256</v>
      </c>
      <c r="C29" s="64" t="s">
        <v>218</v>
      </c>
      <c r="D29" s="64" t="s">
        <v>219</v>
      </c>
      <c r="E29" s="64" t="s">
        <v>220</v>
      </c>
      <c r="F29" s="64" t="s">
        <v>257</v>
      </c>
      <c r="G29" s="64" t="s">
        <v>222</v>
      </c>
      <c r="H29" s="64" t="s">
        <v>223</v>
      </c>
      <c r="J29" s="96" t="s">
        <v>268</v>
      </c>
      <c r="K29" s="96"/>
    </row>
    <row r="30" customFormat="false" ht="19.5" hidden="false" customHeight="true" outlineLevel="0" collapsed="false">
      <c r="A30" s="97" t="n">
        <v>1</v>
      </c>
      <c r="B30" s="98" t="s">
        <v>243</v>
      </c>
      <c r="C30" s="99" t="n">
        <v>46214</v>
      </c>
      <c r="D30" s="100" t="n">
        <v>0.708333333333333</v>
      </c>
      <c r="E30" s="98" t="s">
        <v>269</v>
      </c>
      <c r="F30" s="98" t="s">
        <v>265</v>
      </c>
      <c r="G30" s="98" t="s">
        <v>270</v>
      </c>
      <c r="H30" s="98" t="s">
        <v>271</v>
      </c>
      <c r="J30" s="4" t="s">
        <v>272</v>
      </c>
      <c r="K30" s="29" t="n">
        <f aca="false">COUNTA(B30:B59)</f>
        <v>30</v>
      </c>
    </row>
    <row r="31" customFormat="false" ht="19.5" hidden="false" customHeight="true" outlineLevel="0" collapsed="false">
      <c r="A31" s="97" t="n">
        <v>2</v>
      </c>
      <c r="B31" s="98" t="s">
        <v>243</v>
      </c>
      <c r="C31" s="99" t="n">
        <v>46214</v>
      </c>
      <c r="D31" s="100" t="n">
        <v>0.75</v>
      </c>
      <c r="E31" s="98" t="s">
        <v>273</v>
      </c>
      <c r="F31" s="98" t="s">
        <v>265</v>
      </c>
      <c r="G31" s="98" t="s">
        <v>274</v>
      </c>
      <c r="H31" s="98" t="s">
        <v>262</v>
      </c>
      <c r="J31" s="4" t="s">
        <v>275</v>
      </c>
      <c r="K31" s="29" t="n">
        <f aca="false">COUNTA(E30:E59)</f>
        <v>30</v>
      </c>
    </row>
    <row r="32" customFormat="false" ht="19.5" hidden="false" customHeight="true" outlineLevel="0" collapsed="false">
      <c r="A32" s="97" t="n">
        <v>3</v>
      </c>
      <c r="B32" s="98" t="s">
        <v>276</v>
      </c>
      <c r="C32" s="99" t="n">
        <v>46215</v>
      </c>
      <c r="D32" s="100" t="n">
        <v>0.708333333333333</v>
      </c>
      <c r="E32" s="98" t="s">
        <v>277</v>
      </c>
      <c r="F32" s="98" t="s">
        <v>265</v>
      </c>
      <c r="G32" s="98" t="s">
        <v>278</v>
      </c>
      <c r="H32" s="98" t="s">
        <v>262</v>
      </c>
      <c r="J32" s="4" t="s">
        <v>279</v>
      </c>
      <c r="K32" s="29" t="n">
        <f aca="false">COUNTA(H30:H59)</f>
        <v>30</v>
      </c>
    </row>
    <row r="33" customFormat="false" ht="19.5" hidden="false" customHeight="true" outlineLevel="0" collapsed="false">
      <c r="A33" s="97" t="n">
        <v>4</v>
      </c>
      <c r="B33" s="98" t="s">
        <v>243</v>
      </c>
      <c r="C33" s="99" t="n">
        <v>46215</v>
      </c>
      <c r="D33" s="100" t="n">
        <v>0.75</v>
      </c>
      <c r="E33" s="98" t="s">
        <v>280</v>
      </c>
      <c r="F33" s="98" t="s">
        <v>265</v>
      </c>
      <c r="G33" s="98" t="s">
        <v>281</v>
      </c>
      <c r="H33" s="98" t="s">
        <v>262</v>
      </c>
      <c r="J33" s="4" t="s">
        <v>282</v>
      </c>
      <c r="K33" s="29" t="n">
        <v>30</v>
      </c>
    </row>
    <row r="34" customFormat="false" ht="19.5" hidden="false" customHeight="true" outlineLevel="0" collapsed="false">
      <c r="A34" s="97" t="n">
        <v>5</v>
      </c>
      <c r="B34" s="98" t="s">
        <v>243</v>
      </c>
      <c r="C34" s="99" t="n">
        <v>46216</v>
      </c>
      <c r="D34" s="100" t="n">
        <v>0.708333333333333</v>
      </c>
      <c r="E34" s="98" t="s">
        <v>283</v>
      </c>
      <c r="F34" s="98" t="s">
        <v>265</v>
      </c>
      <c r="G34" s="98" t="s">
        <v>284</v>
      </c>
      <c r="H34" s="98" t="s">
        <v>262</v>
      </c>
      <c r="J34" s="4" t="s">
        <v>6</v>
      </c>
      <c r="K34" s="36" t="n">
        <f aca="false">K30/K33</f>
        <v>1</v>
      </c>
    </row>
    <row r="35" customFormat="false" ht="19.5" hidden="false" customHeight="true" outlineLevel="0" collapsed="false">
      <c r="A35" s="97" t="n">
        <v>6</v>
      </c>
      <c r="B35" s="98" t="s">
        <v>285</v>
      </c>
      <c r="C35" s="99" t="n">
        <v>46216</v>
      </c>
      <c r="D35" s="100" t="n">
        <v>0.75</v>
      </c>
      <c r="E35" s="98" t="s">
        <v>286</v>
      </c>
      <c r="F35" s="98" t="s">
        <v>265</v>
      </c>
      <c r="G35" s="98" t="s">
        <v>287</v>
      </c>
      <c r="H35" s="98" t="s">
        <v>262</v>
      </c>
    </row>
    <row r="36" customFormat="false" ht="19.5" hidden="false" customHeight="true" outlineLevel="0" collapsed="false">
      <c r="A36" s="97" t="n">
        <v>7</v>
      </c>
      <c r="B36" s="98" t="s">
        <v>237</v>
      </c>
      <c r="C36" s="99" t="n">
        <v>46217</v>
      </c>
      <c r="D36" s="100" t="n">
        <v>0.708333333333333</v>
      </c>
      <c r="E36" s="98" t="s">
        <v>288</v>
      </c>
      <c r="F36" s="98" t="s">
        <v>265</v>
      </c>
      <c r="G36" s="98" t="s">
        <v>289</v>
      </c>
      <c r="H36" s="98" t="s">
        <v>262</v>
      </c>
    </row>
    <row r="37" customFormat="false" ht="19.5" hidden="false" customHeight="true" outlineLevel="0" collapsed="false">
      <c r="A37" s="97" t="n">
        <v>8</v>
      </c>
      <c r="B37" s="98" t="s">
        <v>237</v>
      </c>
      <c r="C37" s="99" t="n">
        <v>46217</v>
      </c>
      <c r="D37" s="100" t="n">
        <v>0.75</v>
      </c>
      <c r="E37" s="98" t="s">
        <v>290</v>
      </c>
      <c r="F37" s="98" t="s">
        <v>291</v>
      </c>
      <c r="G37" s="98" t="s">
        <v>292</v>
      </c>
      <c r="H37" s="98" t="s">
        <v>262</v>
      </c>
    </row>
    <row r="38" customFormat="false" ht="19.5" hidden="false" customHeight="true" outlineLevel="0" collapsed="false">
      <c r="A38" s="97" t="n">
        <v>9</v>
      </c>
      <c r="B38" s="98" t="s">
        <v>248</v>
      </c>
      <c r="C38" s="99" t="n">
        <v>46218</v>
      </c>
      <c r="D38" s="100" t="n">
        <v>0.708333333333333</v>
      </c>
      <c r="E38" s="98" t="s">
        <v>293</v>
      </c>
      <c r="F38" s="98" t="s">
        <v>265</v>
      </c>
      <c r="G38" s="98" t="s">
        <v>294</v>
      </c>
      <c r="H38" s="98" t="s">
        <v>262</v>
      </c>
    </row>
    <row r="39" customFormat="false" ht="19.5" hidden="false" customHeight="true" outlineLevel="0" collapsed="false">
      <c r="A39" s="97" t="n">
        <v>10</v>
      </c>
      <c r="B39" s="98" t="s">
        <v>233</v>
      </c>
      <c r="C39" s="99" t="n">
        <v>46218</v>
      </c>
      <c r="D39" s="100" t="n">
        <v>0.75</v>
      </c>
      <c r="E39" s="98" t="s">
        <v>295</v>
      </c>
      <c r="F39" s="98" t="s">
        <v>265</v>
      </c>
      <c r="G39" s="98" t="s">
        <v>296</v>
      </c>
      <c r="H39" s="98" t="s">
        <v>262</v>
      </c>
    </row>
    <row r="40" customFormat="false" ht="19.5" hidden="false" customHeight="true" outlineLevel="0" collapsed="false">
      <c r="A40" s="97" t="n">
        <v>11</v>
      </c>
      <c r="B40" s="98" t="s">
        <v>237</v>
      </c>
      <c r="C40" s="99" t="n">
        <v>46218</v>
      </c>
      <c r="D40" s="100" t="n">
        <v>0.791666666666667</v>
      </c>
      <c r="E40" s="98" t="s">
        <v>297</v>
      </c>
      <c r="F40" s="98" t="s">
        <v>265</v>
      </c>
      <c r="G40" s="98" t="s">
        <v>298</v>
      </c>
      <c r="H40" s="98" t="s">
        <v>262</v>
      </c>
    </row>
    <row r="41" customFormat="false" ht="19.5" hidden="false" customHeight="true" outlineLevel="0" collapsed="false">
      <c r="A41" s="97" t="n">
        <v>12</v>
      </c>
      <c r="B41" s="98" t="s">
        <v>248</v>
      </c>
      <c r="C41" s="99" t="n">
        <v>46219</v>
      </c>
      <c r="D41" s="100" t="n">
        <v>0.708333333333333</v>
      </c>
      <c r="E41" s="98" t="s">
        <v>299</v>
      </c>
      <c r="F41" s="98" t="s">
        <v>265</v>
      </c>
      <c r="G41" s="98" t="s">
        <v>300</v>
      </c>
      <c r="H41" s="98" t="s">
        <v>262</v>
      </c>
    </row>
    <row r="42" customFormat="false" ht="19.5" hidden="false" customHeight="true" outlineLevel="0" collapsed="false">
      <c r="A42" s="97" t="n">
        <v>13</v>
      </c>
      <c r="B42" s="98" t="s">
        <v>237</v>
      </c>
      <c r="C42" s="99" t="n">
        <v>46219</v>
      </c>
      <c r="D42" s="100" t="n">
        <v>0.75</v>
      </c>
      <c r="E42" s="98" t="s">
        <v>301</v>
      </c>
      <c r="F42" s="98" t="s">
        <v>265</v>
      </c>
      <c r="G42" s="98" t="s">
        <v>302</v>
      </c>
      <c r="H42" s="98" t="s">
        <v>262</v>
      </c>
    </row>
    <row r="43" customFormat="false" ht="19.5" hidden="false" customHeight="true" outlineLevel="0" collapsed="false">
      <c r="A43" s="97" t="n">
        <v>14</v>
      </c>
      <c r="B43" s="98" t="s">
        <v>248</v>
      </c>
      <c r="C43" s="99" t="n">
        <v>46219</v>
      </c>
      <c r="D43" s="100" t="n">
        <v>0.791666666666667</v>
      </c>
      <c r="E43" s="98" t="s">
        <v>303</v>
      </c>
      <c r="F43" s="98" t="s">
        <v>265</v>
      </c>
      <c r="G43" s="98" t="s">
        <v>304</v>
      </c>
      <c r="H43" s="98" t="s">
        <v>262</v>
      </c>
    </row>
    <row r="44" customFormat="false" ht="19.5" hidden="false" customHeight="true" outlineLevel="0" collapsed="false">
      <c r="A44" s="97" t="n">
        <v>15</v>
      </c>
      <c r="B44" s="98" t="s">
        <v>237</v>
      </c>
      <c r="C44" s="99" t="n">
        <v>46220</v>
      </c>
      <c r="D44" s="100" t="n">
        <v>0.75</v>
      </c>
      <c r="E44" s="98" t="s">
        <v>305</v>
      </c>
      <c r="F44" s="98" t="s">
        <v>265</v>
      </c>
      <c r="G44" s="98" t="s">
        <v>306</v>
      </c>
      <c r="H44" s="98" t="s">
        <v>262</v>
      </c>
    </row>
    <row r="45" customFormat="false" ht="19.5" hidden="false" customHeight="true" outlineLevel="0" collapsed="false">
      <c r="A45" s="97" t="n">
        <v>16</v>
      </c>
      <c r="B45" s="98" t="s">
        <v>248</v>
      </c>
      <c r="C45" s="99" t="n">
        <v>46220</v>
      </c>
      <c r="D45" s="100" t="n">
        <v>0.8125</v>
      </c>
      <c r="E45" s="98" t="s">
        <v>307</v>
      </c>
      <c r="F45" s="98" t="s">
        <v>265</v>
      </c>
      <c r="G45" s="98" t="s">
        <v>308</v>
      </c>
      <c r="H45" s="98" t="s">
        <v>262</v>
      </c>
    </row>
    <row r="46" customFormat="false" ht="19.5" hidden="false" customHeight="true" outlineLevel="0" collapsed="false">
      <c r="A46" s="97" t="n">
        <v>17</v>
      </c>
      <c r="B46" s="98" t="s">
        <v>248</v>
      </c>
      <c r="C46" s="99" t="n">
        <v>46221</v>
      </c>
      <c r="D46" s="100" t="n">
        <v>0.729166666666667</v>
      </c>
      <c r="E46" s="98" t="s">
        <v>309</v>
      </c>
      <c r="F46" s="98" t="s">
        <v>265</v>
      </c>
      <c r="G46" s="98" t="s">
        <v>310</v>
      </c>
      <c r="H46" s="98" t="s">
        <v>262</v>
      </c>
    </row>
    <row r="47" customFormat="false" ht="19.5" hidden="false" customHeight="true" outlineLevel="0" collapsed="false">
      <c r="A47" s="97" t="n">
        <v>18</v>
      </c>
      <c r="B47" s="98" t="s">
        <v>233</v>
      </c>
      <c r="C47" s="99" t="n">
        <v>46221</v>
      </c>
      <c r="D47" s="100" t="n">
        <v>0.75</v>
      </c>
      <c r="E47" s="98" t="s">
        <v>311</v>
      </c>
      <c r="F47" s="98" t="s">
        <v>265</v>
      </c>
      <c r="G47" s="98" t="s">
        <v>312</v>
      </c>
      <c r="H47" s="98" t="s">
        <v>262</v>
      </c>
    </row>
    <row r="48" customFormat="false" ht="19.5" hidden="false" customHeight="true" outlineLevel="0" collapsed="false">
      <c r="A48" s="97" t="n">
        <v>19</v>
      </c>
      <c r="B48" s="98" t="s">
        <v>237</v>
      </c>
      <c r="C48" s="99" t="n">
        <v>46222</v>
      </c>
      <c r="D48" s="100" t="n">
        <v>0.791666666666667</v>
      </c>
      <c r="E48" s="98" t="s">
        <v>313</v>
      </c>
      <c r="F48" s="98" t="s">
        <v>265</v>
      </c>
      <c r="G48" s="98" t="s">
        <v>314</v>
      </c>
      <c r="H48" s="98" t="s">
        <v>262</v>
      </c>
    </row>
    <row r="49" customFormat="false" ht="19.5" hidden="false" customHeight="true" outlineLevel="0" collapsed="false">
      <c r="A49" s="97" t="n">
        <v>20</v>
      </c>
      <c r="B49" s="98" t="s">
        <v>243</v>
      </c>
      <c r="C49" s="99" t="n">
        <v>46222</v>
      </c>
      <c r="D49" s="100" t="n">
        <v>0.833333333333333</v>
      </c>
      <c r="E49" s="98" t="s">
        <v>315</v>
      </c>
      <c r="F49" s="98" t="s">
        <v>260</v>
      </c>
      <c r="G49" s="98" t="s">
        <v>316</v>
      </c>
      <c r="H49" s="98" t="s">
        <v>262</v>
      </c>
    </row>
    <row r="50" customFormat="false" ht="19.5" hidden="false" customHeight="true" outlineLevel="0" collapsed="false">
      <c r="A50" s="97" t="n">
        <v>21</v>
      </c>
      <c r="B50" s="98" t="s">
        <v>224</v>
      </c>
      <c r="C50" s="99" t="n">
        <v>46222</v>
      </c>
      <c r="D50" s="100" t="n">
        <v>0.875</v>
      </c>
      <c r="E50" s="98" t="s">
        <v>317</v>
      </c>
      <c r="F50" s="98" t="s">
        <v>265</v>
      </c>
      <c r="G50" s="98" t="s">
        <v>318</v>
      </c>
      <c r="H50" s="98" t="s">
        <v>262</v>
      </c>
    </row>
    <row r="51" customFormat="false" ht="19.5" hidden="false" customHeight="true" outlineLevel="0" collapsed="false">
      <c r="A51" s="97" t="n">
        <v>22</v>
      </c>
      <c r="B51" s="98" t="s">
        <v>237</v>
      </c>
      <c r="C51" s="99" t="n">
        <v>46223</v>
      </c>
      <c r="D51" s="100" t="n">
        <v>0.75</v>
      </c>
      <c r="E51" s="98" t="s">
        <v>319</v>
      </c>
      <c r="F51" s="98" t="s">
        <v>265</v>
      </c>
      <c r="G51" s="98" t="s">
        <v>320</v>
      </c>
      <c r="H51" s="98" t="s">
        <v>262</v>
      </c>
    </row>
    <row r="52" customFormat="false" ht="19.5" hidden="false" customHeight="true" outlineLevel="0" collapsed="false">
      <c r="A52" s="97" t="n">
        <v>23</v>
      </c>
      <c r="B52" s="98" t="s">
        <v>237</v>
      </c>
      <c r="C52" s="99" t="n">
        <v>46223</v>
      </c>
      <c r="D52" s="100" t="n">
        <v>0.84375</v>
      </c>
      <c r="E52" s="98" t="s">
        <v>321</v>
      </c>
      <c r="F52" s="98" t="s">
        <v>265</v>
      </c>
      <c r="G52" s="98" t="s">
        <v>322</v>
      </c>
      <c r="H52" s="98" t="s">
        <v>262</v>
      </c>
    </row>
    <row r="53" customFormat="false" ht="19.5" hidden="false" customHeight="true" outlineLevel="0" collapsed="false">
      <c r="A53" s="97" t="n">
        <v>24</v>
      </c>
      <c r="B53" s="98" t="s">
        <v>248</v>
      </c>
      <c r="C53" s="99" t="n">
        <v>46224</v>
      </c>
      <c r="D53" s="100" t="n">
        <v>0.729166666666667</v>
      </c>
      <c r="E53" s="98" t="s">
        <v>323</v>
      </c>
      <c r="F53" s="98" t="s">
        <v>265</v>
      </c>
      <c r="G53" s="98" t="s">
        <v>322</v>
      </c>
      <c r="H53" s="98" t="s">
        <v>262</v>
      </c>
    </row>
    <row r="54" customFormat="false" ht="19.5" hidden="false" customHeight="true" outlineLevel="0" collapsed="false">
      <c r="A54" s="97" t="n">
        <v>25</v>
      </c>
      <c r="B54" s="98" t="s">
        <v>243</v>
      </c>
      <c r="C54" s="99" t="n">
        <v>46224</v>
      </c>
      <c r="D54" s="100" t="n">
        <v>0.75</v>
      </c>
      <c r="E54" s="98" t="s">
        <v>324</v>
      </c>
      <c r="F54" s="98" t="s">
        <v>260</v>
      </c>
      <c r="G54" s="98" t="s">
        <v>325</v>
      </c>
      <c r="H54" s="98" t="s">
        <v>262</v>
      </c>
    </row>
    <row r="55" customFormat="false" ht="19.5" hidden="false" customHeight="true" outlineLevel="0" collapsed="false">
      <c r="A55" s="97" t="n">
        <v>26</v>
      </c>
      <c r="B55" s="98" t="s">
        <v>224</v>
      </c>
      <c r="C55" s="99" t="n">
        <v>46224</v>
      </c>
      <c r="D55" s="100" t="n">
        <v>0.791666666666667</v>
      </c>
      <c r="E55" s="98" t="s">
        <v>326</v>
      </c>
      <c r="F55" s="98" t="s">
        <v>265</v>
      </c>
      <c r="G55" s="98" t="s">
        <v>327</v>
      </c>
      <c r="H55" s="98" t="s">
        <v>262</v>
      </c>
    </row>
    <row r="56" customFormat="false" ht="19.5" hidden="false" customHeight="true" outlineLevel="0" collapsed="false">
      <c r="A56" s="97" t="n">
        <v>27</v>
      </c>
      <c r="B56" s="98" t="s">
        <v>237</v>
      </c>
      <c r="C56" s="99" t="n">
        <v>46225</v>
      </c>
      <c r="D56" s="100" t="n">
        <v>0.729166666666667</v>
      </c>
      <c r="E56" s="98" t="s">
        <v>328</v>
      </c>
      <c r="F56" s="98" t="s">
        <v>265</v>
      </c>
      <c r="G56" s="98" t="s">
        <v>329</v>
      </c>
      <c r="H56" s="98" t="s">
        <v>262</v>
      </c>
    </row>
    <row r="57" customFormat="false" ht="19.5" hidden="false" customHeight="true" outlineLevel="0" collapsed="false">
      <c r="A57" s="97" t="n">
        <v>28</v>
      </c>
      <c r="B57" s="98" t="s">
        <v>233</v>
      </c>
      <c r="C57" s="99" t="n">
        <v>46225</v>
      </c>
      <c r="D57" s="100" t="n">
        <v>0.958333333333333</v>
      </c>
      <c r="E57" s="98" t="s">
        <v>330</v>
      </c>
      <c r="F57" s="98" t="s">
        <v>265</v>
      </c>
      <c r="G57" s="98" t="s">
        <v>331</v>
      </c>
      <c r="H57" s="98" t="s">
        <v>262</v>
      </c>
    </row>
    <row r="58" customFormat="false" ht="19.5" hidden="false" customHeight="true" outlineLevel="0" collapsed="false">
      <c r="A58" s="97" t="n">
        <v>29</v>
      </c>
      <c r="B58" s="98" t="s">
        <v>243</v>
      </c>
      <c r="C58" s="99" t="n">
        <v>46226</v>
      </c>
      <c r="D58" s="101" t="n">
        <v>0.333333333333333</v>
      </c>
      <c r="E58" s="98" t="s">
        <v>332</v>
      </c>
      <c r="F58" s="98" t="s">
        <v>260</v>
      </c>
      <c r="G58" s="98" t="s">
        <v>333</v>
      </c>
      <c r="H58" s="98" t="s">
        <v>262</v>
      </c>
    </row>
    <row r="59" customFormat="false" ht="19.5" hidden="false" customHeight="true" outlineLevel="0" collapsed="false">
      <c r="A59" s="97" t="n">
        <v>30</v>
      </c>
      <c r="B59" s="98" t="s">
        <v>243</v>
      </c>
      <c r="C59" s="99" t="n">
        <v>46226</v>
      </c>
      <c r="D59" s="101" t="n">
        <v>0.416666666666667</v>
      </c>
      <c r="E59" s="98" t="s">
        <v>334</v>
      </c>
      <c r="F59" s="98" t="s">
        <v>265</v>
      </c>
      <c r="G59" s="98" t="s">
        <v>335</v>
      </c>
      <c r="H59" s="98" t="s">
        <v>262</v>
      </c>
    </row>
  </sheetData>
  <mergeCells count="3">
    <mergeCell ref="A1:H2"/>
    <mergeCell ref="A27:H28"/>
    <mergeCell ref="J29:K29"/>
  </mergeCells>
  <conditionalFormatting sqref="K34">
    <cfRule type="cellIs" priority="2" operator="greaterThanOrEqual" aboveAverage="0" equalAverage="0" bottom="0" percent="0" rank="0" text="" dxfId="13">
      <formula>1</formula>
    </cfRule>
    <cfRule type="cellIs" priority="3" operator="lessThan" aboveAverage="0" equalAverage="0" bottom="0" percent="0" rank="0" text="" dxfId="14">
      <formula>1</formula>
    </cfRule>
  </conditionalFormatting>
  <dataValidations count="2">
    <dataValidation allowBlank="true" errorStyle="stop" operator="between" showDropDown="false" showErrorMessage="false" showInputMessage="false" sqref="B30:B59" type="list">
      <formula1>"Images,Videos,User-Generated Content (UGC),Carousels,How-to Guides/Tutorials,Infographics,Live Videos,Memes,Motivational/Inspirational content,Polls and Surveys,Behind-the-Scenes,Product Spotlight,Case Studies/Testimonials,Industry News/Updates,Infotainme"</formula1>
      <formula2>0</formula2>
    </dataValidation>
    <dataValidation allowBlank="true" errorStyle="stop" operator="between" showDropDown="false" showErrorMessage="false" showInputMessage="false" sqref="F30:F59" type="list">
      <formula1>"Visual Creative,Copywriting Creative,Video Creative,Audio Creative,Interactive Creative,Social Media Creative,Print Creative,Motion Graphics Creative,UI/UX Creative"</formula1>
      <formula2>0</formula2>
    </dataValidation>
  </dataValidations>
  <hyperlinks>
    <hyperlink ref="G4" r:id="rId1" display="https://blog.hootsuite.com/linkedin-hashtags-guide/"/>
    <hyperlink ref="H26" r:id="rId2" display="https://www.canva.com/design/XXXXX"/>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6"/>
  <sheetViews>
    <sheetView showFormulas="false" showGridLines="true" showRowColHeaders="true" showZeros="true" rightToLeft="false" tabSelected="false" showOutlineSymbols="true" defaultGridColor="true" view="normal" topLeftCell="C32" colorId="64" zoomScale="30" zoomScaleNormal="30" zoomScalePageLayoutView="100" workbookViewId="0">
      <selection pane="topLeft" activeCell="E35" activeCellId="0" sqref="E35"/>
    </sheetView>
  </sheetViews>
  <sheetFormatPr defaultColWidth="14.00390625" defaultRowHeight="12.5" customHeight="false" zeroHeight="false" outlineLevelRow="0" outlineLevelCol="0"/>
  <cols>
    <col collapsed="false" customWidth="true" hidden="false" outlineLevel="0" max="1" min="1" style="102" width="14.45"/>
    <col collapsed="false" customWidth="true" hidden="false" outlineLevel="0" max="2" min="2" style="103" width="14.45"/>
    <col collapsed="false" customWidth="true" hidden="false" outlineLevel="0" max="3" min="3" style="103" width="72.28"/>
    <col collapsed="false" customWidth="true" hidden="false" outlineLevel="0" max="4" min="4" style="103" width="60.91"/>
    <col collapsed="false" customWidth="true" hidden="false" outlineLevel="0" max="5" min="5" style="103" width="63.63"/>
    <col collapsed="false" customWidth="false" hidden="false" outlineLevel="0" max="16384" min="6" style="102" width="14"/>
  </cols>
  <sheetData>
    <row r="1" s="103" customFormat="true" ht="15" hidden="false" customHeight="true" outlineLevel="0" collapsed="false">
      <c r="A1" s="104" t="s">
        <v>336</v>
      </c>
      <c r="B1" s="104" t="s">
        <v>218</v>
      </c>
      <c r="C1" s="104" t="s">
        <v>219</v>
      </c>
      <c r="D1" s="104" t="s">
        <v>337</v>
      </c>
      <c r="E1" s="104" t="s">
        <v>338</v>
      </c>
      <c r="F1" s="105" t="s">
        <v>339</v>
      </c>
    </row>
    <row r="2" customFormat="false" ht="126" hidden="false" customHeight="true" outlineLevel="0" collapsed="false">
      <c r="A2" s="102" t="s">
        <v>340</v>
      </c>
      <c r="B2" s="106" t="n">
        <v>45085</v>
      </c>
      <c r="C2" s="103" t="s">
        <v>341</v>
      </c>
      <c r="D2" s="92" t="s">
        <v>264</v>
      </c>
      <c r="E2" s="107" t="s">
        <v>342</v>
      </c>
      <c r="F2" s="108" t="s">
        <v>343</v>
      </c>
    </row>
    <row r="3" customFormat="false" ht="15.75" hidden="false" customHeight="true" outlineLevel="0" collapsed="false">
      <c r="A3" s="109" t="s">
        <v>344</v>
      </c>
      <c r="B3" s="109"/>
      <c r="C3" s="109"/>
      <c r="D3" s="109"/>
      <c r="E3" s="109"/>
      <c r="F3" s="109"/>
    </row>
    <row r="4" customFormat="false" ht="15.75" hidden="false" customHeight="true" outlineLevel="0" collapsed="false">
      <c r="A4" s="109"/>
      <c r="B4" s="109"/>
      <c r="C4" s="109"/>
      <c r="D4" s="109"/>
      <c r="E4" s="109"/>
      <c r="F4" s="109"/>
    </row>
    <row r="5" customFormat="false" ht="15.75" hidden="false" customHeight="true" outlineLevel="0" collapsed="false">
      <c r="A5" s="104" t="s">
        <v>336</v>
      </c>
      <c r="B5" s="104" t="s">
        <v>218</v>
      </c>
      <c r="C5" s="104" t="s">
        <v>219</v>
      </c>
      <c r="D5" s="104" t="s">
        <v>337</v>
      </c>
      <c r="E5" s="104" t="s">
        <v>338</v>
      </c>
      <c r="F5" s="105" t="s">
        <v>339</v>
      </c>
    </row>
    <row r="6" customFormat="false" ht="145.5" hidden="false" customHeight="false" outlineLevel="0" collapsed="false">
      <c r="A6" s="102" t="n">
        <v>1</v>
      </c>
      <c r="B6" s="110" t="n">
        <v>46214</v>
      </c>
      <c r="C6" s="111" t="n">
        <v>0.708333333333333</v>
      </c>
      <c r="D6" s="98" t="s">
        <v>269</v>
      </c>
      <c r="E6" s="112" t="s">
        <v>345</v>
      </c>
      <c r="F6" s="102" t="s">
        <v>346</v>
      </c>
    </row>
    <row r="7" customFormat="false" ht="244.5" hidden="false" customHeight="false" outlineLevel="0" collapsed="false">
      <c r="A7" s="102" t="n">
        <v>1</v>
      </c>
      <c r="B7" s="110" t="n">
        <v>46214</v>
      </c>
      <c r="C7" s="111" t="n">
        <v>0.75</v>
      </c>
      <c r="D7" s="98" t="s">
        <v>273</v>
      </c>
      <c r="E7" s="113" t="s">
        <v>347</v>
      </c>
      <c r="F7" s="102" t="s">
        <v>346</v>
      </c>
    </row>
    <row r="8" customFormat="false" ht="277.5" hidden="false" customHeight="false" outlineLevel="0" collapsed="false">
      <c r="A8" s="102" t="n">
        <v>2</v>
      </c>
      <c r="B8" s="110" t="n">
        <v>46215</v>
      </c>
      <c r="C8" s="111" t="n">
        <v>0.708333333333333</v>
      </c>
      <c r="D8" s="98" t="s">
        <v>277</v>
      </c>
      <c r="E8" s="112" t="s">
        <v>348</v>
      </c>
      <c r="F8" s="102" t="s">
        <v>346</v>
      </c>
    </row>
    <row r="9" customFormat="false" ht="15.75" hidden="false" customHeight="true" outlineLevel="0" collapsed="false">
      <c r="A9" s="102" t="n">
        <v>2</v>
      </c>
      <c r="B9" s="110" t="n">
        <v>46215</v>
      </c>
      <c r="C9" s="111" t="n">
        <v>0.75</v>
      </c>
      <c r="D9" s="98" t="s">
        <v>280</v>
      </c>
      <c r="E9" s="112" t="s">
        <v>349</v>
      </c>
      <c r="F9" s="102" t="s">
        <v>346</v>
      </c>
      <c r="G9" s="114"/>
    </row>
    <row r="10" customFormat="false" ht="123.5" hidden="false" customHeight="false" outlineLevel="0" collapsed="false">
      <c r="A10" s="102" t="n">
        <v>3</v>
      </c>
      <c r="B10" s="110" t="n">
        <v>46216</v>
      </c>
      <c r="C10" s="111" t="n">
        <v>0.708333333333333</v>
      </c>
      <c r="D10" s="98" t="s">
        <v>283</v>
      </c>
      <c r="E10" s="112" t="s">
        <v>350</v>
      </c>
      <c r="F10" s="102" t="s">
        <v>346</v>
      </c>
    </row>
    <row r="11" customFormat="false" ht="299.5" hidden="false" customHeight="false" outlineLevel="0" collapsed="false">
      <c r="A11" s="102" t="n">
        <v>3</v>
      </c>
      <c r="B11" s="110" t="n">
        <v>46216</v>
      </c>
      <c r="C11" s="111" t="n">
        <v>0.75</v>
      </c>
      <c r="D11" s="98" t="s">
        <v>286</v>
      </c>
      <c r="E11" s="112" t="s">
        <v>351</v>
      </c>
      <c r="F11" s="102" t="s">
        <v>346</v>
      </c>
    </row>
    <row r="12" customFormat="false" ht="79" hidden="false" customHeight="false" outlineLevel="0" collapsed="false">
      <c r="A12" s="102" t="n">
        <v>4</v>
      </c>
      <c r="B12" s="110" t="n">
        <v>46217</v>
      </c>
      <c r="C12" s="111" t="n">
        <v>0.708333333333333</v>
      </c>
      <c r="D12" s="98" t="s">
        <v>288</v>
      </c>
      <c r="E12" s="112" t="s">
        <v>352</v>
      </c>
      <c r="F12" s="102" t="s">
        <v>346</v>
      </c>
    </row>
    <row r="13" customFormat="false" ht="299.5" hidden="false" customHeight="false" outlineLevel="0" collapsed="false">
      <c r="A13" s="102" t="n">
        <v>4</v>
      </c>
      <c r="B13" s="110" t="n">
        <v>46217</v>
      </c>
      <c r="C13" s="111" t="n">
        <v>0.75</v>
      </c>
      <c r="D13" s="98" t="s">
        <v>290</v>
      </c>
      <c r="E13" s="112" t="s">
        <v>353</v>
      </c>
      <c r="F13" s="102" t="s">
        <v>346</v>
      </c>
    </row>
    <row r="14" customFormat="false" ht="291.1" hidden="false" customHeight="true" outlineLevel="0" collapsed="false">
      <c r="A14" s="102" t="n">
        <v>5</v>
      </c>
      <c r="B14" s="110" t="n">
        <v>46218</v>
      </c>
      <c r="C14" s="111" t="n">
        <v>0.708333333333333</v>
      </c>
      <c r="D14" s="98" t="s">
        <v>293</v>
      </c>
      <c r="E14" s="112" t="s">
        <v>354</v>
      </c>
      <c r="F14" s="102" t="s">
        <v>346</v>
      </c>
    </row>
    <row r="15" customFormat="false" ht="68" hidden="false" customHeight="false" outlineLevel="0" collapsed="false">
      <c r="A15" s="102" t="n">
        <v>5</v>
      </c>
      <c r="B15" s="110" t="n">
        <v>46218</v>
      </c>
      <c r="C15" s="111" t="n">
        <v>0.75</v>
      </c>
      <c r="D15" s="98" t="s">
        <v>295</v>
      </c>
      <c r="E15" s="112" t="s">
        <v>355</v>
      </c>
      <c r="F15" s="102" t="s">
        <v>346</v>
      </c>
    </row>
    <row r="16" customFormat="false" ht="134.5" hidden="false" customHeight="false" outlineLevel="0" collapsed="false">
      <c r="A16" s="102" t="n">
        <v>5</v>
      </c>
      <c r="B16" s="110" t="n">
        <v>46218</v>
      </c>
      <c r="C16" s="111" t="n">
        <v>0.791666666666667</v>
      </c>
      <c r="D16" s="98" t="s">
        <v>297</v>
      </c>
      <c r="E16" s="113" t="s">
        <v>356</v>
      </c>
      <c r="F16" s="102" t="s">
        <v>346</v>
      </c>
    </row>
    <row r="17" customFormat="false" ht="178.5" hidden="false" customHeight="false" outlineLevel="0" collapsed="false">
      <c r="A17" s="102" t="n">
        <v>6</v>
      </c>
      <c r="B17" s="110" t="n">
        <v>46219</v>
      </c>
      <c r="C17" s="111" t="n">
        <v>0.708333333333333</v>
      </c>
      <c r="D17" s="98" t="s">
        <v>299</v>
      </c>
      <c r="E17" s="112" t="s">
        <v>357</v>
      </c>
      <c r="F17" s="102" t="s">
        <v>346</v>
      </c>
    </row>
    <row r="18" customFormat="false" ht="156.5" hidden="false" customHeight="false" outlineLevel="0" collapsed="false">
      <c r="A18" s="102" t="n">
        <v>6</v>
      </c>
      <c r="B18" s="110" t="n">
        <v>46219</v>
      </c>
      <c r="C18" s="111" t="n">
        <v>0.75</v>
      </c>
      <c r="D18" s="98" t="s">
        <v>301</v>
      </c>
      <c r="E18" s="113" t="s">
        <v>358</v>
      </c>
      <c r="F18" s="102" t="s">
        <v>346</v>
      </c>
    </row>
    <row r="19" customFormat="false" ht="288.5" hidden="false" customHeight="false" outlineLevel="0" collapsed="false">
      <c r="A19" s="102" t="n">
        <v>6</v>
      </c>
      <c r="B19" s="110" t="n">
        <v>46219</v>
      </c>
      <c r="C19" s="111" t="n">
        <v>0.791666666666667</v>
      </c>
      <c r="D19" s="98" t="s">
        <v>303</v>
      </c>
      <c r="E19" s="113" t="s">
        <v>359</v>
      </c>
      <c r="F19" s="102" t="s">
        <v>346</v>
      </c>
    </row>
    <row r="20" customFormat="false" ht="123.5" hidden="false" customHeight="false" outlineLevel="0" collapsed="false">
      <c r="A20" s="102" t="n">
        <v>7</v>
      </c>
      <c r="B20" s="110" t="n">
        <v>46220</v>
      </c>
      <c r="C20" s="111" t="n">
        <v>0.75</v>
      </c>
      <c r="D20" s="98" t="s">
        <v>305</v>
      </c>
      <c r="E20" s="113" t="s">
        <v>360</v>
      </c>
      <c r="F20" s="102" t="s">
        <v>346</v>
      </c>
    </row>
    <row r="21" customFormat="false" ht="178.5" hidden="false" customHeight="false" outlineLevel="0" collapsed="false">
      <c r="A21" s="102" t="n">
        <v>7</v>
      </c>
      <c r="B21" s="110" t="n">
        <v>46220</v>
      </c>
      <c r="C21" s="111" t="n">
        <v>0.8125</v>
      </c>
      <c r="D21" s="98" t="s">
        <v>307</v>
      </c>
      <c r="E21" s="113" t="s">
        <v>361</v>
      </c>
      <c r="F21" s="102" t="s">
        <v>346</v>
      </c>
    </row>
    <row r="22" customFormat="false" ht="167.5" hidden="false" customHeight="false" outlineLevel="0" collapsed="false">
      <c r="A22" s="102" t="n">
        <v>8</v>
      </c>
      <c r="B22" s="110" t="n">
        <v>46221</v>
      </c>
      <c r="C22" s="111" t="n">
        <v>0.729166666666667</v>
      </c>
      <c r="D22" s="98" t="s">
        <v>309</v>
      </c>
      <c r="E22" s="113" t="s">
        <v>362</v>
      </c>
      <c r="F22" s="102" t="s">
        <v>346</v>
      </c>
    </row>
    <row r="23" customFormat="false" ht="189.5" hidden="false" customHeight="false" outlineLevel="0" collapsed="false">
      <c r="A23" s="102" t="n">
        <v>8</v>
      </c>
      <c r="B23" s="110" t="n">
        <v>46221</v>
      </c>
      <c r="C23" s="111" t="n">
        <v>0.75</v>
      </c>
      <c r="D23" s="98" t="s">
        <v>311</v>
      </c>
      <c r="E23" s="113" t="s">
        <v>363</v>
      </c>
      <c r="F23" s="102" t="s">
        <v>346</v>
      </c>
    </row>
    <row r="24" customFormat="false" ht="101" hidden="false" customHeight="false" outlineLevel="0" collapsed="false">
      <c r="A24" s="102" t="n">
        <v>9</v>
      </c>
      <c r="B24" s="110" t="n">
        <v>46222</v>
      </c>
      <c r="C24" s="111" t="n">
        <v>0.791666666666667</v>
      </c>
      <c r="D24" s="98" t="s">
        <v>313</v>
      </c>
      <c r="E24" s="113" t="s">
        <v>364</v>
      </c>
      <c r="F24" s="102" t="s">
        <v>346</v>
      </c>
    </row>
    <row r="25" customFormat="false" ht="189.5" hidden="false" customHeight="false" outlineLevel="0" collapsed="false">
      <c r="A25" s="102" t="n">
        <v>9</v>
      </c>
      <c r="B25" s="110" t="n">
        <v>46222</v>
      </c>
      <c r="C25" s="111" t="n">
        <v>0.833333333333333</v>
      </c>
      <c r="D25" s="98" t="s">
        <v>315</v>
      </c>
      <c r="E25" s="113" t="s">
        <v>365</v>
      </c>
      <c r="F25" s="102" t="s">
        <v>346</v>
      </c>
    </row>
    <row r="26" customFormat="false" ht="90" hidden="false" customHeight="false" outlineLevel="0" collapsed="false">
      <c r="A26" s="102" t="n">
        <v>9</v>
      </c>
      <c r="B26" s="110" t="n">
        <v>46222</v>
      </c>
      <c r="C26" s="111" t="n">
        <v>0.875</v>
      </c>
      <c r="D26" s="98" t="s">
        <v>317</v>
      </c>
      <c r="E26" s="113" t="s">
        <v>366</v>
      </c>
      <c r="F26" s="102" t="s">
        <v>346</v>
      </c>
    </row>
    <row r="27" customFormat="false" ht="178.5" hidden="false" customHeight="false" outlineLevel="0" collapsed="false">
      <c r="A27" s="102" t="n">
        <v>10</v>
      </c>
      <c r="B27" s="110" t="n">
        <v>46223</v>
      </c>
      <c r="C27" s="111" t="n">
        <v>0.75</v>
      </c>
      <c r="D27" s="98" t="s">
        <v>319</v>
      </c>
      <c r="E27" s="113" t="s">
        <v>367</v>
      </c>
      <c r="F27" s="102" t="s">
        <v>346</v>
      </c>
    </row>
    <row r="28" customFormat="false" ht="233.5" hidden="false" customHeight="false" outlineLevel="0" collapsed="false">
      <c r="A28" s="102" t="n">
        <v>10</v>
      </c>
      <c r="B28" s="110" t="n">
        <v>46223</v>
      </c>
      <c r="C28" s="111" t="n">
        <v>0.84375</v>
      </c>
      <c r="D28" s="98" t="s">
        <v>321</v>
      </c>
      <c r="E28" s="112" t="s">
        <v>368</v>
      </c>
      <c r="F28" s="102" t="s">
        <v>346</v>
      </c>
    </row>
    <row r="29" customFormat="false" ht="189.5" hidden="false" customHeight="false" outlineLevel="0" collapsed="false">
      <c r="A29" s="102" t="n">
        <v>11</v>
      </c>
      <c r="B29" s="110" t="n">
        <v>46224</v>
      </c>
      <c r="C29" s="111" t="n">
        <v>0.729166666666667</v>
      </c>
      <c r="D29" s="98" t="s">
        <v>323</v>
      </c>
      <c r="E29" s="112" t="s">
        <v>369</v>
      </c>
      <c r="F29" s="102" t="s">
        <v>346</v>
      </c>
    </row>
    <row r="30" customFormat="false" ht="112.5" hidden="false" customHeight="false" outlineLevel="0" collapsed="false">
      <c r="A30" s="102" t="n">
        <v>11</v>
      </c>
      <c r="B30" s="110" t="n">
        <v>46224</v>
      </c>
      <c r="C30" s="111" t="n">
        <v>0.75</v>
      </c>
      <c r="D30" s="98" t="s">
        <v>324</v>
      </c>
      <c r="E30" s="112" t="s">
        <v>370</v>
      </c>
      <c r="F30" s="102" t="s">
        <v>346</v>
      </c>
    </row>
    <row r="31" customFormat="false" ht="145.5" hidden="false" customHeight="false" outlineLevel="0" collapsed="false">
      <c r="A31" s="102" t="n">
        <v>11</v>
      </c>
      <c r="B31" s="110" t="n">
        <v>46224</v>
      </c>
      <c r="C31" s="111" t="n">
        <v>0.791666666666667</v>
      </c>
      <c r="D31" s="98" t="s">
        <v>326</v>
      </c>
      <c r="E31" s="112" t="s">
        <v>371</v>
      </c>
      <c r="F31" s="102" t="s">
        <v>346</v>
      </c>
    </row>
    <row r="32" customFormat="false" ht="167.5" hidden="false" customHeight="false" outlineLevel="0" collapsed="false">
      <c r="A32" s="102" t="n">
        <v>12</v>
      </c>
      <c r="B32" s="110" t="n">
        <v>46225</v>
      </c>
      <c r="C32" s="111" t="n">
        <v>0.729166666666667</v>
      </c>
      <c r="D32" s="98" t="s">
        <v>328</v>
      </c>
      <c r="E32" s="112" t="s">
        <v>372</v>
      </c>
      <c r="F32" s="102" t="s">
        <v>346</v>
      </c>
    </row>
    <row r="33" customFormat="false" ht="167.5" hidden="false" customHeight="false" outlineLevel="0" collapsed="false">
      <c r="A33" s="102" t="n">
        <v>12</v>
      </c>
      <c r="B33" s="110" t="n">
        <v>46225</v>
      </c>
      <c r="C33" s="111" t="n">
        <v>0.958333333333333</v>
      </c>
      <c r="D33" s="98" t="s">
        <v>330</v>
      </c>
      <c r="E33" s="112" t="s">
        <v>373</v>
      </c>
      <c r="F33" s="102" t="s">
        <v>346</v>
      </c>
    </row>
    <row r="34" customFormat="false" ht="388" hidden="false" customHeight="false" outlineLevel="0" collapsed="false">
      <c r="A34" s="102" t="n">
        <v>13</v>
      </c>
      <c r="B34" s="110" t="n">
        <v>46226</v>
      </c>
      <c r="C34" s="111" t="n">
        <v>0.333333333333333</v>
      </c>
      <c r="D34" s="98" t="s">
        <v>332</v>
      </c>
      <c r="E34" s="112" t="s">
        <v>374</v>
      </c>
      <c r="F34" s="102" t="s">
        <v>346</v>
      </c>
    </row>
    <row r="35" customFormat="false" ht="266.5" hidden="false" customHeight="false" outlineLevel="0" collapsed="false">
      <c r="A35" s="102" t="n">
        <v>13</v>
      </c>
      <c r="B35" s="110" t="n">
        <v>46226</v>
      </c>
      <c r="C35" s="111" t="n">
        <v>0.416666666666667</v>
      </c>
      <c r="D35" s="98" t="s">
        <v>334</v>
      </c>
      <c r="E35" s="112" t="s">
        <v>375</v>
      </c>
      <c r="F35" s="102" t="s">
        <v>346</v>
      </c>
    </row>
    <row r="36" customFormat="false" ht="14" hidden="false" customHeight="false" outlineLevel="0" collapsed="false"/>
  </sheetData>
  <mergeCells count="1">
    <mergeCell ref="A3:F4"/>
  </mergeCells>
  <conditionalFormatting sqref="F6:F39">
    <cfRule type="cellIs" priority="2" operator="equal" aboveAverage="0" equalAverage="0" bottom="0" percent="0" rank="0" text="" dxfId="15">
      <formula>"Published"</formula>
    </cfRule>
    <cfRule type="cellIs" priority="3" operator="equal" aboveAverage="0" equalAverage="0" bottom="0" percent="0" rank="0" text="" dxfId="16">
      <formula>"Not Started"</formula>
    </cfRule>
    <cfRule type="cellIs" priority="4" operator="equal" aboveAverage="0" equalAverage="0" bottom="0" percent="0" rank="0" text="" dxfId="17">
      <formula>"In Progress"</formula>
    </cfRule>
    <cfRule type="cellIs" priority="5" operator="equal" aboveAverage="0" equalAverage="0" bottom="0" percent="0" rank="0" text="" dxfId="18">
      <formula>"Ready"</formula>
    </cfRule>
    <cfRule type="cellIs" priority="6" operator="equal" aboveAverage="0" equalAverage="0" bottom="0" percent="0" rank="0" text="" dxfId="19">
      <formula>"Scheduled"</formula>
    </cfRule>
  </conditionalFormatting>
  <dataValidations count="1">
    <dataValidation allowBlank="true" errorStyle="stop" operator="between" showDropDown="false" showErrorMessage="false" showInputMessage="false" sqref="F6:F39" type="list">
      <formula1>"Not Started,In Progress,Ready,Scheduled,Published"</formula1>
      <formula2>0</formula2>
    </dataValidation>
  </dataValidations>
  <hyperlinks>
    <hyperlink ref="E2" r:id="rId1" display="https://www.linkedin.com/posts/ineubytes_datascientist-datasciencetraining-machinelearning-activity-7072525201032282112-HY1y?utm_source=share&amp;utm_medium=member_desktop"/>
    <hyperlink ref="E6" r:id="rId2" display="https://www.linkedin.com/posts/mohit-sukhija_ineubytes-ineubytes-brandvisibility-activity-7481693819051130880-KdKQ?utm_source=social_share_send&amp;utm_medium=android_app&amp;rcm=ACoAAGaFDK0BbyG1T-wOG0OIQPBDmmlKf9CNHpM&amp;utm_campaign=copy_link"/>
    <hyperlink ref="E7" r:id="rId3" display="https://www.linkedin.com/posts/mohit-sukhija_ineubytes-ineubytes-contentcreator-activity-7481739080507187201-7sXn?utm_source=social_share_send&amp;utm_medium=android_app&amp;rcm=ACoAAGaFDK0BbyG1T-wOG0OIQPBDmmlKf9CNHpM&amp;utm_campaign=copy_link"/>
    <hyperlink ref="E8" r:id="rId4" display="https://www.linkedin.com/posts/mohit-sukhija_ineubytes-onlineinternship-ineubytesintership-activity-7482063727001878528-BoLi?utm_source=social_share_send&amp;utm_medium=android_app&amp;rcm=ACoAAGaFDK0BbyG1T-wOG0OIQPBDmmlKf9CNHpM&amp;utm_campaign=copy_link"/>
    <hyperlink ref="E9" r:id="rId5" display="https://www.linkedin.com/posts/mohit-sukhija_ineubytes-internship-certificates-activity-7482101470532923392-Ht3u?utm_source=social_share_send&amp;utm_medium=android_app&amp;rcm=ACoAAGaFDK0BbyG1T-wOG0OIQPBDmmlKf9CNHpM&amp;utm_campaign=copy_link"/>
    <hyperlink ref="E10" r:id="rId6" display="https://www.linkedin.com/posts/mohit-sukhija_ineubytes-ineubytesinternship-onlineinternship-activity-7482426149864841216-xmLC?utm_source=social_share_send&amp;utm_medium=android_app&amp;rcm=ACoAAGaFDK0BbyG1T-wOG0OIQPBDmmlKf9CNHpM&amp;utm_campaign=copy_link"/>
    <hyperlink ref="E11" r:id="rId7" display="https://www.linkedin.com/posts/mohit-sukhija_ineubytes-onlineinternship-ineubytesinternship-activity-7482463901285130240-AOnc?utm_source=social_share_send&amp;utm_medium=android_app&amp;rcm=ACoAAGaFDK0BbyG1T-wOG0OIQPBDmmlKf9CNHpM&amp;utm_campaign=copy_link"/>
    <hyperlink ref="E12" r:id="rId8" display="https://www.linkedin.com/posts/mohit-sukhija_ineubytes-ineubytesintership-onlineinternship-activity-7482701443544600576-tFCQ?utm_source=social_share_send&amp;utm_medium=android_app&amp;rcm=ACoAAGaFDK0BbyG1T-wOG0OIQPBDmmlKf9CNHpM&amp;utm_campaign=copy_link"/>
    <hyperlink ref="E13" r:id="rId9" display="https://www.linkedin.com/posts/mohit-sukhija_ineubytes-ineubytesinternship-onlineinternship-activity-7482826340757426176-a1s_?utm_source=social_share_send&amp;utm_medium=android_app&amp;rcm=ACoAAGaFDK0BbyG1T-wOG0OIQPBDmmlKf9CNHpM&amp;utm_campaign=copy_link"/>
    <hyperlink ref="E14" r:id="rId10" display="https://www.linkedin.com/posts/mohit-sukhija_ineubytes-ineubytesinternship-onlineinternship-activity-7483158475489951744-hxPh?utm_source=social_share_send&amp;utm_medium=android_app&amp;rcm=ACoAAGaFDK0BbyG1T-wOG0OIQPBDmmlKf9CNHpM&amp;utm_campaign=copy_link"/>
    <hyperlink ref="E15" r:id="rId11" display="https://www.linkedin.com/posts/mohit-sukhija_ineubytes-onlineintership-virtualinternship-activity-7483181097917366272-8ZcP?utm_source=social_share_send&amp;utm_medium=android_app&amp;rcm=ACoAAGaFDK0BbyG1T-wOG0OIQPBDmmlKf9CNHpM&amp;utm_campaign=copy_link"/>
    <hyperlink ref="E16" r:id="rId12" display="https://www.linkedin.com/posts/mohit-sukhija_ineubytes-ineubytesinternship-onlineinternship-activity-7483188783400529920-JkDY?utm_source=social_share_send&amp;utm_medium=android_app&amp;rcm=ACoAAGaFDK0BbyG1T-wOG0OIQPBDmmlKf9CNHpM&amp;utm_campaign=copy_link"/>
    <hyperlink ref="E17" r:id="rId13" display="https://www.linkedin.com/posts/mohit-sukhija_ineubytes-google-chrome-activity-7483513326409248769-BkIx?utm_source=social_share_send&amp;utm_medium=android_app&amp;rcm=ACoAAGaFDK0BbyG1T-wOG0OIQPBDmmlKf9CNHpM&amp;utm_campaign=copy_link"/>
    <hyperlink ref="E18" r:id="rId14" display="https://www.linkedin.com/posts/mohit-sukhija_amazon-flipkart-business-activity-7483543490501431296-9i1a?utm_source=social_share_send&amp;utm_medium=android_app&amp;rcm=ACoAAGaFDK0BbyG1T-wOG0OIQPBDmmlKf9CNHpM&amp;utm_campaign=copy_link"/>
    <hyperlink ref="E19" r:id="rId15" display="https://www.linkedin.com/posts/mohit-sukhija_aws-amazon-jeffbezos-activity-7483732269828943872-x3o4?utm_source=social_share_send&amp;utm_medium=android_app&amp;rcm=ACoAAGaFDK0BbyG1T-wOG0OIQPBDmmlKf9CNHpM&amp;utm_campaign=copy_link"/>
    <hyperlink ref="E20" r:id="rId16" display="https://www.linkedin.com/posts/mohit-sukhija_artificialintelligence-chatgpt-claude-activity-7483868110924472320-UOCM?utm_source=social_share_send&amp;utm_medium=android_app&amp;rcm=ACoAAGaFDK0BbyG1T-wOG0OIQPBDmmlKf9CNHpM&amp;utm_campaign=copy_link"/>
    <hyperlink ref="E21" r:id="rId17" display="https://www.linkedin.com/posts/mohit-sukhija_ineubytes-samsung-tech-activity-7483890785461956608-0Q-s?utm_source=social_share_send&amp;utm_medium=android_app&amp;rcm=ACoAAGaFDK0BbyG1T-wOG0OIQPBDmmlKf9CNHpM&amp;utm_campaign=copy_link"/>
    <hyperlink ref="E22" r:id="rId18" display="https://www.linkedin.com/posts/mohit-sukhija_samsung-info-adapting-activity-7484260699012014080-FEZV?utm_source=social_share_send&amp;utm_medium=android_app&amp;rcm=ACoAAGaFDK0BbyG1T-wOG0OIQPBDmmlKf9CNHpM&amp;utm_campaign=copy_link"/>
    <hyperlink ref="E23" r:id="rId19" display="https://www.linkedin.com/posts/mohit-sukhija_ineubytes-internship-onlineinternship-activity-7484275805519237120-N6lH?utm_source=social_share_send&amp;utm_medium=android_app&amp;rcm=ACoAAGaFDK0BbyG1T-wOG0OIQPBDmmlKf9CNHpM&amp;utm_campaign=copy_link"/>
    <hyperlink ref="E24" r:id="rId20" display="https://www.linkedin.com/posts/mohit-sukhija_ineubytes-digital-marketing-activity-7484600532821532672-p2gV?utm_source=social_share_send&amp;utm_medium=android_app&amp;rcm=ACoAAGaFDK0BbyG1T-wOG0OIQPBDmmlKf9CNHpM&amp;utm_campaign=copy_link"/>
    <hyperlink ref="E25" r:id="rId21" display="https://www.linkedin.com/posts/mohit-sukhija_ineubytes-digital-marketing-activity-7484615552284626945-5OG9?utm_source=social_share_send&amp;utm_medium=android_app&amp;rcm=ACoAAGaFDK0BbyG1T-wOG0OIQPBDmmlKf9CNHpM&amp;utm_campaign=copy_link"/>
    <hyperlink ref="E26" r:id="rId22" display="https://www.linkedin.com/posts/mohit-sukhija_ineubytes-ineubytesinternship-digitalmarketing-activity-7484630637073821696-HnuO?utm_source=social_share_send&amp;utm_medium=android_app&amp;rcm=ACoAAGaFDK0BbyG1T-wOG0OIQPBDmmlKf9CNHpM&amp;utm_campaign=copy_link"/>
    <hyperlink ref="E27" r:id="rId23" display="https://www.linkedin.com/posts/mohit-sukhija_growth-ineubytes-digital-activity-7484947748446932995-ljf5?utm_source=social_share_send&amp;utm_medium=android_app&amp;rcm=ACoAAGaFDK0BbyG1T-wOG0OIQPBDmmlKf9CNHpM&amp;utm_campaign=copy_link"/>
    <hyperlink ref="E28" r:id="rId24" display="https://www.linkedin.com/posts/mohit-sukhija_ineubytes-techhistory-branding-activity-7484981706270285824-nsDw?utm_source=social_share_send&amp;utm_medium=android_app&amp;rcm=ACoAAGaFDK0BbyG1T-wOG0OIQPBDmmlKf9CNHpM&amp;utm_campaign=copy_link"/>
    <hyperlink ref="E29" r:id="rId25" display="https://www.linkedin.com/posts/mohit-sukhija_casestudy-leadership-personalbranding-activity-7485302630311673856-jLz_?utm_source=social_share_send&amp;utm_medium=android_app&amp;rcm=ACoAAGaFDK0BbyG1T-wOG0OIQPBDmmlKf9CNHpM&amp;utm_campaign=copy_link"/>
    <hyperlink ref="E30" r:id="rId26" display="https://www.linkedin.com/posts/mohit-sukhija_ineubytes-onlineinternship-digitalmarketing-activity-7485317770029699075-ecZv?utm_source=social_share_send&amp;utm_medium=android_app&amp;rcm=ACoAAGaFDK0BbyG1T-wOG0OIQPBDmmlKf9CNHpM&amp;utm_campaign=copy_link"/>
    <hyperlink ref="E31" r:id="rId27" display="https://www.linkedin.com/posts/mohit-sukhija_ineubytes-ineubytesinternship-digitalmarketing-activity-7485332849122758656-KcTO?utm_source=social_share_send&amp;utm_medium=android_app&amp;rcm=ACoAAGaFDK0BbyG1T-wOG0OIQPBDmmlKf9CNHpM&amp;utm_campaign=copy_link"/>
    <hyperlink ref="E32" r:id="rId28" display="https://www.linkedin.com/posts/mohit-sukhija_ineubytes-ineubytesinternship-seo-activity-7485664974061858816-V4Ah?utm_source=social_share_send&amp;utm_medium=android_app&amp;rcm=ACoAAGaFDK0BbyG1T-wOG0OIQPBDmmlKf9CNHpM&amp;utm_campaign=copy_link"/>
    <hyperlink ref="E33" r:id="rId29" display="https://www.linkedin.com/posts/mohit-sukhija_ineubytes-virtualinternship-internshipjourney-activity-7485748015408914432-2Mfq?utm_source=social_share_send&amp;utm_medium=android_app&amp;rcm=ACoAAGaFDK0BbyG1T-wOG0OIQPBDmmlKf9CNHpM&amp;utm_campaign=copy_link"/>
    <hyperlink ref="E34" r:id="rId30" display="https://www.linkedin.com/posts/mohit-sukhija_internship-contentcreation-digitalmarketing-activity-7485883898367971328-fDOk?utm_source=social_share_send&amp;utm_medium=android_app&amp;rcm=ACoAAGaFDK0BbyG1T-wOG0OIQPBDmmlKf9CNHpM&amp;utm_campaign=copy_link"/>
    <hyperlink ref="E35" r:id="rId31" display="https://www.linkedin.com/posts/mohit-sukhija_internship-ineubytes-digitalmarketing-activity-7485914097075748865-bz2g?utm_source=social_share_send&amp;utm_medium=android_app&amp;rcm=ACoAAGaFDK0BbyG1T-wOG0OIQPBDmmlKf9CNHpM&amp;utm_campaign=copy_link"/>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2024-12-28T07:41:01Z</dcterms:created>
  <dc:creator>openpyxl</dc:creator>
  <dc:description/>
  <dc:language>en-IN</dc:language>
  <cp:lastModifiedBy>geetha pratyusha</cp:lastModifiedBy>
  <dcterms:modified xsi:type="dcterms:W3CDTF">2026-07-23T08:28:04Z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c6122ce4a7ea471b8a19db7a3002621d</vt:lpwstr>
  </property>
</Properties>
</file>