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1.xml" ContentType="application/vnd.openxmlformats-officedocument.spreadsheetml.externalLink+xml"/>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7" lowestEdited="7" rupBuild="30026"/>
  <workbookPr defaultThemeVersion="153222"/>
  <bookViews>
    <workbookView xWindow="-110" yWindow="-110" windowWidth="-26916" windowHeight="21100" firstSheet="1" activeTab="7" tabRatio="500"/>
  </bookViews>
  <sheets>
    <sheet name="Bulk Upload" sheetId="1" r:id="rId2" state="hidden"/>
    <sheet name="Dashboard" sheetId="2" r:id="rId3"/>
    <sheet name="TASK 1" sheetId="3" r:id="rId4"/>
    <sheet name="Website 1" sheetId="4" r:id="rId5"/>
    <sheet name="Website 2" sheetId="5" r:id="rId6"/>
    <sheet name="Website 3" sheetId="6" r:id="rId7"/>
    <sheet name="MAJOR PROJECT" sheetId="7" r:id="rId8"/>
    <sheet name="Competitors Sheet" sheetId="8" r:id="rId9"/>
    <sheet name="Ads Sheet" sheetId="9" r:id="rId10"/>
    <sheet name="Publish" sheetId="10" r:id="rId11"/>
  </sheets>
  <externalReferences>
    <externalReference r:id="rId1"/>
  </externalReferences>
  <definedNames>
    <definedName name="accountOptions">'[1]Accounts'!$A$3:$A$92</definedName>
    <definedName name="campaignOptions">'[1]Campaigns'!$A$1:$A$21</definedName>
  </definedNames>
  <calcPr calcId="191029"/>
</workbook>
</file>

<file path=xl/sharedStrings.xml><?xml version="1.0" encoding="utf-8"?>
<sst xmlns="http://schemas.openxmlformats.org/spreadsheetml/2006/main" uniqueCount="406" count="406">
  <si>
    <t>iNeuBytes • SEO + Social Task Dashboard</t>
  </si>
  <si>
    <t>Site</t>
  </si>
  <si>
    <t>Items</t>
  </si>
  <si>
    <t>Issues (YES)</t>
  </si>
  <si>
    <t>Passed (NO)</t>
  </si>
  <si>
    <t>High Issues</t>
  </si>
  <si>
    <t>Completion %</t>
  </si>
  <si>
    <t>Website 1</t>
  </si>
  <si>
    <t>Website 2</t>
  </si>
  <si>
    <t>Website 3</t>
  </si>
  <si>
    <t>TOTAL</t>
  </si>
  <si>
    <t>Tip: fill in the YES/NO answers on each Website sheet — these totals update automatically.</t>
  </si>
  <si>
    <t>Main Contact Name</t>
  </si>
  <si>
    <t>Facebook URL</t>
  </si>
  <si>
    <t>Main Email Address</t>
  </si>
  <si>
    <t>Twitter URL</t>
  </si>
  <si>
    <t>Business Name</t>
  </si>
  <si>
    <t>Linkedin URL</t>
  </si>
  <si>
    <t>Street adress</t>
  </si>
  <si>
    <t>YouTube URL</t>
  </si>
  <si>
    <t>Country</t>
  </si>
  <si>
    <t>Instagram URL</t>
  </si>
  <si>
    <t>City</t>
  </si>
  <si>
    <t>Pinterest URL</t>
  </si>
  <si>
    <t>Post Code</t>
  </si>
  <si>
    <t>3 competitors sites as per research</t>
  </si>
  <si>
    <t>State</t>
  </si>
  <si>
    <t>Keyword people search to find about business</t>
  </si>
  <si>
    <t xml:space="preserve">Phone Number </t>
  </si>
  <si>
    <t>Products or servcies offered</t>
  </si>
  <si>
    <t>Website Address</t>
  </si>
  <si>
    <t>Payment Methods accepted</t>
  </si>
  <si>
    <t>Opening hours</t>
  </si>
  <si>
    <t>Year Established</t>
  </si>
  <si>
    <t>SEO CHECKLIST</t>
  </si>
  <si>
    <t>LIVE PROGRESS TRACKER</t>
  </si>
  <si>
    <t>PRIORITY</t>
  </si>
  <si>
    <t>NO.</t>
  </si>
  <si>
    <t>CHECKLIST</t>
  </si>
  <si>
    <t>ISSUE EXISTS (YES/NO)</t>
  </si>
  <si>
    <t>RESOURCES</t>
  </si>
  <si>
    <t>Total checklist items</t>
  </si>
  <si>
    <t>On-Page/Technical SEO Elements</t>
  </si>
  <si>
    <t>Answered</t>
  </si>
  <si>
    <t>LOW</t>
  </si>
  <si>
    <t>Is there single H1 heading for each page?</t>
  </si>
  <si>
    <t>SEOBILITY, UBERSUGGEST</t>
  </si>
  <si>
    <t>Issues found (YES)</t>
  </si>
  <si>
    <t>Have the H-tags, paragraphs been inserted in chronologically descending order?</t>
  </si>
  <si>
    <t>Does each URL have an individual meta description?</t>
  </si>
  <si>
    <t>High priority issues</t>
  </si>
  <si>
    <t>Are meta title unique for each page?</t>
  </si>
  <si>
    <t>Meta description are compelling and unique?</t>
  </si>
  <si>
    <t>Have you exhausted the maximum length of over 250 characters per description?</t>
  </si>
  <si>
    <t>Does the URL, meta-title and meta-description contain the focus keyword of the page?</t>
  </si>
  <si>
    <t>Used focus keyword in first paragraph?</t>
  </si>
  <si>
    <t>Are URLs as short as possible?</t>
  </si>
  <si>
    <t>MEDIUM</t>
  </si>
  <si>
    <t>Is the page speed optimized?</t>
  </si>
  <si>
    <t>Google Page Speed Insights</t>
  </si>
  <si>
    <t>Are image sizes optimized?</t>
  </si>
  <si>
    <t>Make your content easy to share (Social Share)</t>
  </si>
  <si>
    <t>Are redirections working properly?</t>
  </si>
  <si>
    <t>Small SEO Tools - REDIRECT CHECKER</t>
  </si>
  <si>
    <t>HIGH</t>
  </si>
  <si>
    <t>Check for broken links</t>
  </si>
  <si>
    <t>https://www.drlinkcheck.com/</t>
  </si>
  <si>
    <t>LOCAL SEO Elements</t>
  </si>
  <si>
    <t>Is business listed on Google my business</t>
  </si>
  <si>
    <t>Google my business</t>
  </si>
  <si>
    <t>Is business listed on Bing?</t>
  </si>
  <si>
    <t>Bing</t>
  </si>
  <si>
    <t>USER EXPERIENCE</t>
  </si>
  <si>
    <t>Do you have call to action?</t>
  </si>
  <si>
    <t>Website</t>
  </si>
  <si>
    <t>Is favicon aded?</t>
  </si>
  <si>
    <t>https://sitechecker.pro/what-is-favicon/</t>
  </si>
  <si>
    <t>Company location and contact information are  accessible from the homepage</t>
  </si>
  <si>
    <t>Do you have custom 404 page?</t>
  </si>
  <si>
    <t>404page – your smart custom 404 error page</t>
  </si>
  <si>
    <t>Competitor Sheet</t>
  </si>
  <si>
    <t>Brand/Client</t>
  </si>
  <si>
    <t>INEUBYTES</t>
  </si>
  <si>
    <t>Objective</t>
  </si>
  <si>
    <t>PREPARING COMPETITORS</t>
  </si>
  <si>
    <t>www.ineubytes.com</t>
  </si>
  <si>
    <t>Date</t>
  </si>
  <si>
    <t>COMPETITORS LIST</t>
  </si>
  <si>
    <t>No.</t>
  </si>
  <si>
    <t>Competitors Name</t>
  </si>
  <si>
    <t>website Link</t>
  </si>
  <si>
    <t>Instagram Page</t>
  </si>
  <si>
    <t>Twitter Handle</t>
  </si>
  <si>
    <t>LinkedIn Page</t>
  </si>
  <si>
    <t>Facebook Handle</t>
  </si>
  <si>
    <t>Major Project (2 Weeks) : Developing and Implementing a Comprehensive Content Calendar ( Create 30 Posts )</t>
  </si>
  <si>
    <t>Post Type</t>
  </si>
  <si>
    <t>DATE</t>
  </si>
  <si>
    <t>TIME</t>
  </si>
  <si>
    <t>CAPTION (Content)</t>
  </si>
  <si>
    <t>Creative</t>
  </si>
  <si>
    <t>HASHTAG</t>
  </si>
  <si>
    <t>REFERENCE LINK</t>
  </si>
  <si>
    <t>Images</t>
  </si>
  <si>
    <t>1 . Install the "Keywords Everywhere - Keyword Tool" Chrome extension for keyword data.
2. Identify relevant, high-volume keywords using this tool.
3. Use ChatGPT to craft engaging captions incorporating these keywords.
4. Remember: Captions should prioritize audience engagement and incorporate keywords naturally.</t>
  </si>
  <si>
    <t>Visual Creative : Canva</t>
  </si>
  <si>
    <t>https://blog.hootsuite.com/linkedin-hashtags-guide/</t>
  </si>
  <si>
    <t>If you are using any looks like CANVA, you can share the viewable link otherwise you can take file and post in google drive and just share google drive file link</t>
  </si>
  <si>
    <t>Videos</t>
  </si>
  <si>
    <t>Copywriting Creative : Grammarly</t>
  </si>
  <si>
    <t>User-Generated Content (UGC)</t>
  </si>
  <si>
    <t>Video Creative : Openshot</t>
  </si>
  <si>
    <t>Carousels</t>
  </si>
  <si>
    <t>Audio Creative : Audacity</t>
  </si>
  <si>
    <t>How-to Guides/Tutorials</t>
  </si>
  <si>
    <t>Interactive Creative :  Scratch</t>
  </si>
  <si>
    <t>Infographics</t>
  </si>
  <si>
    <t>Social Media Creative : Canva</t>
  </si>
  <si>
    <t>Live Videos</t>
  </si>
  <si>
    <t>Print Creative : Adobe Spark</t>
  </si>
  <si>
    <t>Memes</t>
  </si>
  <si>
    <t>Motion Graphics Creative : Powtoon</t>
  </si>
  <si>
    <t>Motivational/Inspirational content</t>
  </si>
  <si>
    <t>User Interface/User Experience (UI/UX) Creative : Figma</t>
  </si>
  <si>
    <t>Polls and Surveys</t>
  </si>
  <si>
    <t>Behind-the-Scenes</t>
  </si>
  <si>
    <t>Product Spotlight</t>
  </si>
  <si>
    <t>Case Studies/Testimonials</t>
  </si>
  <si>
    <t>Industry News/Updates</t>
  </si>
  <si>
    <t>Infotainment</t>
  </si>
  <si>
    <t>Seasonal/Holiday Content</t>
  </si>
  <si>
    <t>Guest Posts/Influencer Collaborations</t>
  </si>
  <si>
    <t>Contests/Giveaways</t>
  </si>
  <si>
    <t>Ask Me Anything (AMA)</t>
  </si>
  <si>
    <t>Educational Webinars/Workshops</t>
  </si>
  <si>
    <t>TYPE OF POST</t>
  </si>
  <si>
    <t>CREATIVE TYPE</t>
  </si>
  <si>
    <t>(Sample)</t>
  </si>
  <si>
    <t>🌟 Exciting Industry Update: Data Science in Education and Technology! 📊💡🚀
🎓 As a passionate advocate for data-driven decision-making, I couldn't be more thrilled about the latest developments in data science for the education and technology industries. Let me share with you some incredible insights and personal experiences that highlight the power of data in transforming these sectors. 💻📚✨
🔍 The Education Revolution:
In the education industry, data science has emerged as a game-changer, propelling us into an era of personalized learning. 🎯📖 With the help of advanced analytics, educators can now tailor instructional approaches to meet individual students' needs. From adaptive learning platforms to intelligent tutoring systems, technology fueled by data insights is reshaping the classroom experience, unlocking students' full potential. 🌟🔓
🌐 The Tech Transformation:
Meanwhile, in the technology industry, data science is the driving force behind innovation and digital transformation. 💡🚀 Companies are leveraging data analytics to extract actionable insights from vast amounts of information, enabling them to make smarter business decisions. From customer behavior analysis to predictive modeling, data science empowers organizations to optimize processes, enhance user experiences, and gain a competitive edge. 💼📊
🔬 Personal Journey:
Reflecting on my own journey, I've witnessed firsthand how data science has revolutionized education and technology. During my time as an educator, data-driven insights helped me identify areas for improvement, tailoring my teaching strategies to address individual student needs. The impact was remarkable – increased engagement, improved learning outcomes, and a true sense of empowerment among my students. 🌟🎓
🌈 Let's Connect and Collaborate!
I'd love</t>
  </si>
  <si>
    <t>Copywriting Creative</t>
  </si>
  <si>
    <t>#DataScience #EducationIndustry #TechnologyIndustry #DigitalTransformation #PersonalizedLearning #Innovation #DataDrivenDecisionMaking #ThoughtLeadership #IndustryInsights #EdTech #TechAdvancements</t>
  </si>
  <si>
    <t>No design needed</t>
  </si>
  <si>
    <t>📣 Calling all aspiring data wizards! 🧙‍♂️✨ Level up your skills with our exclusive 3-month data science course 📊🔬 Join us on a journey of discovery as we unravel the secrets of data analysis, machine learning, and more 🌟💻 Unleash your potential and gain a competitive edge in the digital era 🚀💡 Don't miss out on this golden opportunity! Register now and let the data adventure begin! 📚💫</t>
  </si>
  <si>
    <t>Visual Creative</t>
  </si>
  <si>
    <t>#DataScienceJourney
#DataWizards
#LevelUpYourSkills
#DataAnalysis
#MachineLearning
#UnleashYourPotential
#DigitalEdge
#DataAdventure
#TechEducation
#CareerGrowth</t>
  </si>
  <si>
    <t>CALENDAR PROGRESS</t>
  </si>
  <si>
    <t>Posts planned</t>
  </si>
  <si>
    <t>Captions written</t>
  </si>
  <si>
    <t>Creatives linked</t>
  </si>
  <si>
    <t>Target</t>
  </si>
  <si>
    <t>DAY</t>
  </si>
  <si>
    <t>CAPTION (CONTENT)</t>
  </si>
  <si>
    <t>LINK (POST IN YOUR LINKEDIN) AND PASTE THE LINK HERE</t>
  </si>
  <si>
    <t>STATUS</t>
  </si>
  <si>
    <t>THURDAY</t>
  </si>
  <si>
    <t>17:00  PM</t>
  </si>
  <si>
    <t>https://www.linkedin.com/posts/ineubytes_datascientist-datasciencetraining-machinelearning-activity-7072525201032282112-HY1y?utm_source=share&amp;utm_medium=member_desktop</t>
  </si>
  <si>
    <t xml:space="preserve">Sample </t>
  </si>
  <si>
    <t>TO POST AT CORRECT TIME USE BUFFER AND SCHEDULE YOUR POSTS (OR) YOU CAN SCHEDULE YOUR POSTS IN LINKEDIN ALSO</t>
  </si>
  <si>
    <t>MAJOR PROJECT</t>
  </si>
  <si>
    <t>TASK 1</t>
  </si>
  <si>
    <t>08-06-20XX (Sample)</t>
  </si>
  <si>
    <t>https://www.canva.com/design/XXXXX</t>
  </si>
  <si>
    <t>YES</t>
  </si>
  <si>
    <t>Boat,Noise,boult</t>
  </si>
  <si>
    <t xml:space="preserve">Customers support </t>
  </si>
  <si>
    <t>support@boat-lifestyle.com</t>
  </si>
  <si>
    <t>boAt</t>
  </si>
  <si>
    <t xml:space="preserve">India </t>
  </si>
  <si>
    <t>Maker Chambers V, Nariman Point</t>
  </si>
  <si>
    <t>Mumbai</t>
  </si>
  <si>
    <t>Maharashtra</t>
  </si>
  <si>
    <t>91-22-66288000</t>
  </si>
  <si>
    <t>https://www.boat-lifestyle.com/</t>
  </si>
  <si>
    <t>N/A</t>
  </si>
  <si>
    <t>N/A(online store)</t>
  </si>
  <si>
    <t>https://facebook.com/boat.lifestyle</t>
  </si>
  <si>
    <t>https://x.com/RockWithboAt</t>
  </si>
  <si>
    <t>https://linkedin.com/company/boat-lifestyle</t>
  </si>
  <si>
    <t>https://youtube.com/@boatlifestyle</t>
  </si>
  <si>
    <t>https://m.facebook.com/boat.lifestyle/</t>
  </si>
  <si>
    <t>https://www.instagram.com/boat.nirvana/</t>
  </si>
  <si>
    <t>https://youtube.com/@boat-lifestyle?si=tg5WT2eVHwtmGCpk</t>
  </si>
  <si>
    <t>Noise,boult,jbl</t>
  </si>
  <si>
    <t>Earbuds, headphones, smartwatches, speakers</t>
  </si>
  <si>
    <t xml:space="preserve">wireless earbuds, headphones, smartwatches,boat lifestyle </t>
  </si>
  <si>
    <t>UPI, Cards, Net Banking, Wallets, EMI</t>
  </si>
  <si>
    <t xml:space="preserve">November -2016
</t>
  </si>
  <si>
    <t>NO</t>
  </si>
  <si>
    <t>Noise</t>
  </si>
  <si>
    <t xml:space="preserve">Customers Support </t>
  </si>
  <si>
    <t>support@goniose.com</t>
  </si>
  <si>
    <t>India</t>
  </si>
  <si>
    <t>Two Horizon Center, Golf Course Road</t>
  </si>
  <si>
    <t>Gurugram</t>
  </si>
  <si>
    <t xml:space="preserve">Haryana </t>
  </si>
  <si>
    <t>91-8882132132</t>
  </si>
  <si>
    <t>https://www.gonoise.com</t>
  </si>
  <si>
    <t>N/A (online store)</t>
  </si>
  <si>
    <t>https://facebook.com/Gonoise</t>
  </si>
  <si>
    <t>https://x.com/gonoise</t>
  </si>
  <si>
    <t>https://linkedin.com/company/gonoise-com</t>
  </si>
  <si>
    <t>https://youtube.com/@GoNoise</t>
  </si>
  <si>
    <t>https://instagram.com/gonoise</t>
  </si>
  <si>
    <t>boAt,Boult,Fire-Boltt</t>
  </si>
  <si>
    <t>smartwatches, earbuds, wearables
earbuds, headphones, speakers</t>
  </si>
  <si>
    <t>smartwatches, earbuds, wearables earbuds, headphones, speakers</t>
  </si>
  <si>
    <t>Smartwatches, Earbuds, Smart Rings</t>
  </si>
  <si>
    <t>UPI, Cards, Net Banking, Wallets</t>
  </si>
  <si>
    <t xml:space="preserve">Customer support </t>
  </si>
  <si>
    <t>support@boultaudio.com</t>
  </si>
  <si>
    <t>Boult</t>
  </si>
  <si>
    <t>New Delhi (Corporate Office)</t>
  </si>
  <si>
    <t>india</t>
  </si>
  <si>
    <t xml:space="preserve">New Delhi </t>
  </si>
  <si>
    <t>Delhi</t>
  </si>
  <si>
    <t>https://www.boultaudio.com</t>
  </si>
  <si>
    <t>https://facebook.com/boultaudio</t>
  </si>
  <si>
    <t>https://x.com/boultaudio</t>
  </si>
  <si>
    <t>https://linkedin.com/company/boultaudio</t>
  </si>
  <si>
    <t>https://youtube.com/@BoultAudio</t>
  </si>
  <si>
    <t>https://instagram.com/boultaudio</t>
  </si>
  <si>
    <t>boAt,Noise,JBL</t>
  </si>
  <si>
    <t>earbuds, headphones, speakers</t>
  </si>
  <si>
    <t>Earbuds, Neckbands, Speakers, Smartwatches</t>
  </si>
  <si>
    <t xml:space="preserve">yes </t>
  </si>
  <si>
    <t xml:space="preserve">Yes </t>
  </si>
  <si>
    <t>Yes</t>
  </si>
  <si>
    <t>No</t>
  </si>
  <si>
    <t>no</t>
  </si>
  <si>
    <t>yes</t>
  </si>
  <si>
    <t>https://youtube.com/@gonoise_official?si=eGW94LEYULxlsRha</t>
  </si>
  <si>
    <t>https://www.instagram.com/go_noise/</t>
  </si>
  <si>
    <t>+91 9289803880</t>
  </si>
  <si>
    <t>+91 8882132132</t>
  </si>
  <si>
    <t>+91 22-66288000</t>
  </si>
  <si>
    <t>https://youtube.com/@goboult?si=XFATJhbfacYrvr_6</t>
  </si>
  <si>
    <t>https://www.instagram.com/goboult_official/</t>
  </si>
  <si>
    <t>https://www.facebook.com/GOBOULT</t>
  </si>
  <si>
    <t>June2017</t>
  </si>
  <si>
    <t>PrepBytes</t>
  </si>
  <si>
    <t>internshala</t>
  </si>
  <si>
    <t>Unstop</t>
  </si>
  <si>
    <t>Eventbeep</t>
  </si>
  <si>
    <t>Scaler</t>
  </si>
  <si>
    <t>Simplilearn</t>
  </si>
  <si>
    <t>Coding Blocks</t>
  </si>
  <si>
    <t>Upgrad</t>
  </si>
  <si>
    <t xml:space="preserve">Great learning </t>
  </si>
  <si>
    <t>Coding ninjas</t>
  </si>
  <si>
    <t>https://www.prepbytes.com/</t>
  </si>
  <si>
    <t>https://internshala.com/</t>
  </si>
  <si>
    <t>https://unstop.com</t>
  </si>
  <si>
    <t>https://www.scaler.com/</t>
  </si>
  <si>
    <t>https://www.eventbeep.com/en</t>
  </si>
  <si>
    <t>https://www.simplilearn.com/?utm_source=google&amp;utm_medium=cpc&amp;utm_term=simplilearn&amp;utm_content=802977548-41114892706-698790228378&amp;utm_device=m&amp;utm_campaign=Search-Brand-Exact-IN-AllDevice-adgroup-Brand-simplilearn&amp;gad_source=1&amp;gad_campaignid=802977548&amp;gclid=Cj0KCQjwjb3SBhDgARIsAMKiWzgDMmcVqMuO_BsHheQMjh9PP7H8ex4BRUlfzdf-W9vg7u1LhZ3X6_oaAtKbEALw_wcB</t>
  </si>
  <si>
    <t>https://www.simplilearn.com/</t>
  </si>
  <si>
    <t>https://www.codingblocks.com/</t>
  </si>
  <si>
    <t>https://www.upgrad.com/</t>
  </si>
  <si>
    <t>https://www.mygreatlearning.com/</t>
  </si>
  <si>
    <t>https://www.codingninjas.com/</t>
  </si>
  <si>
    <t>https://www.instagram.com/prepbytes?igsh=NHVyamV5bGt6dWcx</t>
  </si>
  <si>
    <t>https://www.instagram.com/prepbytes</t>
  </si>
  <si>
    <t>https://www.instagram.com/internshala</t>
  </si>
  <si>
    <t>https://www.instagram.com/beepappofficial</t>
  </si>
  <si>
    <t>https://www.instagram.com/unstop.world</t>
  </si>
  <si>
    <t>https://www.instagram.com/scaler_official</t>
  </si>
  <si>
    <t>https://www.instagram.com/simplilearn_official</t>
  </si>
  <si>
    <t>https://www.instagram.com/upgrad_edu</t>
  </si>
  <si>
    <t>https://www.instagram.com/codingblocks</t>
  </si>
  <si>
    <t>https://www.instagram.com/coding.ninjas</t>
  </si>
  <si>
    <t>https://www.instagram.com/greatlearningofficial</t>
  </si>
  <si>
    <t>https://www.linkedin.com/school/codingninjas/</t>
  </si>
  <si>
    <t>https://www.linkedin.com/company/simplilearn/</t>
  </si>
  <si>
    <t>https://www.linkedin.com/school/codingblocksindia/</t>
  </si>
  <si>
    <t>https://www.linkedin.com/company/internshala/</t>
  </si>
  <si>
    <t>https://www.linkedin.com/school/scalerofficial/</t>
  </si>
  <si>
    <t>https://www.linkedin.com/school/great-learning/</t>
  </si>
  <si>
    <t>https://www.linkedin.com/company/ueducation/</t>
  </si>
  <si>
    <t>https://www.linkedin.com/company/beepappofficial/</t>
  </si>
  <si>
    <t>https://www.linkedin.com/company/unstop/</t>
  </si>
  <si>
    <t>https://www.linkedin.com/company/prepbytes/</t>
  </si>
  <si>
    <t>https://x.com/prepbytes0211</t>
  </si>
  <si>
    <t>https://x.com/simplilearn</t>
  </si>
  <si>
    <t>https://x.com/upGrad_edu</t>
  </si>
  <si>
    <t>https://x.com/CodingNinjasOff</t>
  </si>
  <si>
    <t>https://x.com/CodingBlocksIn</t>
  </si>
  <si>
    <t>https://x.com/Great_Learning</t>
  </si>
  <si>
    <t>https://x.com/event_beep</t>
  </si>
  <si>
    <t>https://x.com/Unstop_World</t>
  </si>
  <si>
    <t>https://x.com/Internshala</t>
  </si>
  <si>
    <t>https://x.com/scaler_official</t>
  </si>
  <si>
    <t>https://www.facebook.com/GreatLearningOfficial/</t>
  </si>
  <si>
    <t>https://www.facebook.com/codingblocksindia/</t>
  </si>
  <si>
    <t>https://www.facebook.com/Internshala/</t>
  </si>
  <si>
    <t>https://www.facebook.com/prepbytes0211/</t>
  </si>
  <si>
    <t>https://www.facebook.com/EventBeep/</t>
  </si>
  <si>
    <t>https://www.facebook.com/SimplilearnIndia/</t>
  </si>
  <si>
    <t>https://www.facebook.com/upGradGlobal/</t>
  </si>
  <si>
    <t>https://www.facebook.com/Unstop.World/</t>
  </si>
  <si>
    <t>https://www.facebook.com/codingninjas/</t>
  </si>
  <si>
    <t>https://www.facebook.com/scalerofficial/</t>
  </si>
  <si>
    <t xml:space="preserve"> </t>
  </si>
  <si>
    <t xml:space="preserve">Infographic </t>
  </si>
  <si>
    <t xml:space="preserve">Educational Marketing graphic </t>
  </si>
  <si>
    <t>Case study</t>
  </si>
  <si>
    <t>Milestone post</t>
  </si>
  <si>
    <t>Most businesses are sitting on diamonds.
But without a polished social media presence, the world sees coal.
Your product quality, your team, your vision — none of it matters if your online presence doesn't reflect it.
Unpolished gems are treated like coals.
The companies winning right now aren't always the best. They're the most visible. The most consistent. The ones who showed up online before they felt "ready."
Your brand is the gem. Social media is the cutting and polishing.
One makes you valuable. The other makes you seen.
I learned while doing  my #iNeuBytes internship That how much digital marketing is important for a brand.</t>
  </si>
  <si>
    <t>#iNeuBytes #BrandVisibility #SocialMediaMarketing #DigitalMarketing #ContentStrategy #iNeuBytes #PersonalBranding #MarketingMindset #SmallBusiness #StartupIndia #LinkedInMarketing</t>
  </si>
  <si>
    <t xml:space="preserve">no reference needed </t>
  </si>
  <si>
    <t>Published</t>
  </si>
  <si>
    <t>Not Started</t>
  </si>
  <si>
    <t>Scheduled</t>
  </si>
  <si>
    <t>Social Media Creative</t>
  </si>
  <si>
    <t>Social Media Creative/Visual Creative</t>
  </si>
  <si>
    <t>I've seen people post once a week and explode.
I've seen others post three times a day with almost no growth.
The difference isn't luck.
It's context.
Every successful creator has a unique mix of audience, timing, brand, and experience.
So before you copy someone's content strategy, ask yourself:
Will this work for my audience—or am I just copying because it worked for someone else?
The best strategy isn't borrowed.
It's built.
( While doing  Competitor analysis task for my #iNeuBytes internship i learned same content doesn't always work for different brands, every brand needs to find their own.)</t>
  </si>
  <si>
    <t>#iNeuBytes #contentcreator
#audience #growth</t>
  </si>
  <si>
    <t>#iNeuBytes #onlineinternship
#iNeuBytesintership #ContentCreation
#Marketing #Branding #Advertising #Jingles #BrandRecall #KitKat #ConsumerPsychology</t>
  </si>
  <si>
    <t>Everybody knows the line:
"Have a break, have a KitKat."
But have you ever wondered why you still remember it years later?
That's the power of a great jingle.
A jingle isn't just a catchy tune or phrase. It's a memory trigger. It helps people recognize a brand, creates familiarity, and makes advertisements stick long after they're over.
When done right, a jingle turns marketing into memory.
That's why some of the most successful brands invest in creating sounds and phrases people can instantly recall.
People may forget an advertisement.
They rarely forget a great jingle.
What's the first brand jingle that comes to your mind?
(While Doing my iNeuBytes internship i realised that the most engaging thing about an advertisement is not just its design, content and hook the music the jingle and sound branding also matters.)</t>
  </si>
  <si>
    <t>Think of it this way:
📜 Certificates are your entry pass.
🛠️ Skills are your toolkit.
📈 Experience is your proof.
Without the pass, some doors stay closed.
Without the toolkit, you can't do the work.
Without experience, it's difficult to earn trust.
Build all three—but spend most of your time sharpening your skills.
(Thanks to my iNeuBytes internship, I understand the difference between holding a certificate and having a skill.)</t>
  </si>
  <si>
    <t>#iNeuBytes #internship #certificates #iNeuBytesinternship
#skills</t>
  </si>
  <si>
    <t>Ideas are common. Execution is the competitive advantage.
Steve Jobs wasn't the first person to imagine a smartphone, tablet, or graphical computer. What made him legendary was his relentless focus on execution—turning ideas into products people loved. Apple's success wasn't built on having the most ideas; it was built on executing them better than almost anyone else.
An idea has potential. Execution creates impact.
(So i always have plenty of ideas but my summer internship at iNeuBytes teach me about the execution of idea, iNeuBytes give me task to Execute 30 posts in 14 days.)</t>
  </si>
  <si>
    <t>#iNeuBytes #iNeuBytesInternship
#onlineInternship #Certificates #growth #Marketing #contentcreation #Ideas #Execution #Apple</t>
  </si>
  <si>
    <t>TA-DUM.
You probably heard that in your head before you even saw the Netflix logo.
That's the power of sonic branding.
Unlike a jingle, sonic branding doesn't need lyrics. Sometimes, just a few distinctive notes are enough to make millions of people instantly recognize a brand.
Netflix's iconic "Ta-Dum" plays before every show, creating anticipation and reinforcing the brand with every watch.
The best brands aren't remembered only by what they look like.
They're remembered by what they sound like.
In a world full of visual noise, the brands that win are often the ones people can recognize with their eyes closed.
A logo identifies a brand.
A sound makes it unforgettable.
What's the first sonic logo that comes to your mind?
(Sound and brand identity like this is the kind of marketing detail I've studied closely during my Digital Marketing internship at iNeuBytes.)</t>
  </si>
  <si>
    <t>#iNeuBytes #Onlineinternship
#iNeuBytesinternship #contentcreation #freemarketing
#Marketing #Branding #SonicBranding #Netflix #AudioBranding #Advertising #BrandStrategy</t>
  </si>
  <si>
    <t>Most SEO audits fail because people use only one tool.
These 5 free SEO tools cover almost everything—from technical SEO to page speed and indexing.
Save this post before your next website audit.
(Has been using these tools for my iNeuBytes internship.)</t>
  </si>
  <si>
    <t>#iNeuBytes #iNeubytesintership
#onlineinternship #contentcreation
#Marketing 
#SEO #SEOTOOLS #Free #Website #Digitalmarketing</t>
  </si>
  <si>
    <t>India's biggest food delivery battle isn't fought in restaurants.
It's fought in technology, logistics, and execution.
Zomato vs Swiggy isn't just a rivalry—it's a masterclass in how competition drives innovation.
From food delivery to quick commerce, both companies keep pushing each other to build better products, faster deliveries, and better customer experiences.
One question remains...
Which side are you on—Zomato or Swiggy? 🍕🛵
Breaking down real brand rivalries like this is exactly the kind of competitive analysis I've been doing during my Digital Marketing internship at iNeuBytes.</t>
  </si>
  <si>
    <t>#iNeuBytes #iNeuBytesinternship
#onlineinternship #Digitalmarketing #Marketing #Rivalry #Food 
#Zomato #Swiggy #Business #Startup #Entrepreneurship #Marketing #Innovation #India #Tech #LinkedIn</t>
  </si>
  <si>
    <t>The biggest reason Amul is still winning after 70+ years?
It never confused innovation with identity.
Its products evolved.
Its packaging evolved.
Its marketing evolved.
But its purpose never did.
It changed everything. Except its purpose.
That's the difference between building a product that sells and a brand that lasts.
Which brand do you think has stayed true to its purpose the longest?
(Case studies like this shape how iNeuBytes trains interns to think about brand purpose — grateful for that lens.)</t>
  </si>
  <si>
    <t>#iNeuBytes #iNeubytesinternship
#OnlineInternship #DigitalMarketing #Marketing 
#Amul #butter #purpose #identity #brand #BrandStory</t>
  </si>
  <si>
    <t>More than just a certificate—it was real industry exposure.
During my internship at INEUBYTES, I worked on practical, real-world tasks under the guidance of experienced mentors. The internship helped me strengthen my skills, gain hands-on experience, and build confidence while earning a certificate upon successful completion.</t>
  </si>
  <si>
    <t>#iNeuBytes #onlineintership
#virtualinternship #iNeubytesinternship #Growth #contentcreation</t>
  </si>
  <si>
    <t>The best competition doesn't create losers.
It creates better products.
Jio changed the rules.
Airtel changed its strategy.
One disrupted. One adapted. India won.
(This is the kind of strategic thinking iNeuBytes has been pushing me to apply during my internship.)</t>
  </si>
  <si>
    <t>#iNeuBytes #iNeuBytesinternship
#onlineinternship #Digitalmarketing #Marketing #Contentcreator 
#Jio #Airtel #telecom</t>
  </si>
  <si>
    <t>What if Google had never built Chrome?
One internal idea changed the future of the web.
Sundar Pichai believed Google needed its own browser—one that was faster, simpler, and more secure.
Google listened.
The result was Chrome, now the world's most-used web browser.
Great products don't always start with a product.
Sometimes, they start with one person's vision.
(Exploring different stories for my #iNeubytes internship.)</t>
  </si>
  <si>
    <t>#Google #Chrome #TechHistory #Innovation #Leadership #Business #iNeubytes #Onlineinternship #digitalmarketing #Marketing #iNeubytesinternship</t>
  </si>
  <si>
    <t>Flipkart created Big Billion Days.
Amazon answered with the Great Indian Festival.
Every year, both brands compete with bigger deals, faster deliveries, and smarter strategies.
Billions are spent for one thing: your click. 
Which side are you on—Amazon or Flipkart?
(Analyzing real campaigns like this is part of what I've been learning hands-on during my iNeuBytes internship)</t>
  </si>
  <si>
    <t>#Amazon #Flipkart #Business #Ecommerce #Competition #Marketing #Innovation #BigBillionDays #GreatIndianFestival
#iNeuBytes #onlineinternship
#iNeuBytesinternship #DigitalMarketing #Marketing</t>
  </si>
  <si>
    <t>Jeff Bezos wasn't trying to build the world's biggest cloud business.
He was trying to solve an internal problem.
In the early 2000s, Amazon's developers were spending weeks setting up servers for every new project. Every team built its own infrastructure from scratch, slowing innovation and wasting engineering time.
Jeff Bezos decided to change that.
He pushed Amazon to create standardized, self-service building blocks for storage, computing, and databases that every team could use instantly instead of rebuilding everything.
Then came the realization.
If these tools could save Amazon thousands of engineering hours, why wouldn't other companies want the same thing?
So in 2006, Amazon turned those internal tools into a product called Amazon Web Services (AWS).
What began as a solution to a retail company's engineering bottleneck unexpectedly became the foundation of modern cloud computing.
Today, AWS powers startups, Fortune 500 companies, governments, streaming platforms, AI applications, and millions of websites across the world.
One internal headache became one of the most successful businesses ever created.
Lesson: Sometimes the biggest opportunities aren't found by chasing a new idea—they emerge from solving your own biggest problem.
(This is the kind of business-strategy thinking my Digital Marketing internship at iNeuBytes has pushed me to apply.)</t>
  </si>
  <si>
    <t>#AWS #Amazon #JeffBezos #BusinessStrategy #Innovation #Startups #CloudComputing #Entrepreneurship #Tech #BusinessCaseStudy
#iNeuBytes #Onlineinternship
#DigitalMarketing #Marketing 
#iNeuBytesinternship</t>
  </si>
  <si>
    <t>The race isn't about who answers faster.
It's about who builds the smartest AI.
OpenAI and Anthropic are investing billions, releasing more capable models, and competing to shape the future of artificial intelligence.
The best part?
Every improvement benefits millions of users.
( Learning about the comparison and benefits of different Ai tools, while doing my iNeuBytes.) internship)</t>
  </si>
  <si>
    <t>#ArtificialIntelligence #ChatGPT #Claude #OpenAI #Anthropic #Tech #iNeuBytes #Onlineinternship #DigitalMarketing #Marketing</t>
  </si>
  <si>
    <t>Samsung didn't stay a trading company.
It kept evolving.
From dried fish to semiconductors.
From smartphones to AI.
Every decade, it entered new industries instead of protecting the old ones.
The biggest companies aren't built by staying the same.
They're built by constantly changing.
What's one business that reinvented itself as successfully as Samsung?
(Exploring brand Stories as part of #iNeuBytes internship)</t>
  </si>
  <si>
    <t>#Samsung #tech #brand #infographic #content #iNeuBytes
#Digital #Marketing</t>
  </si>
  <si>
    <t>Samsung isn't just a brand.
It's a conglomerate built on one habit: adapting.
It started as a trading company.
Then came insurance. Construction. Shipbuilding. Electronics. Semiconductors. Smartphones.
Most companies protect one business.
Samsung keeps building the next one.
That's why it has stayed relevant for nearly a century
(Leaning about brand Stories while My iNeuBytes internship)</t>
  </si>
  <si>
    <t>#Samsung #Info #adapting #iNeubytes #Digital #Marketing</t>
  </si>
  <si>
    <t>My first internship wasn't about building my portfolio.
It was about building confidence.
Instead of only gaining classroom knowledge, I got the opportunity to work on real projects. That practical experience changed the way I think, learn, and solve problems.
Along the way, I also developed:
•Professional communication
•Problem-solving skills
•Team collaboration
•Time management
•Research skills
•Adaptability
•Accountability
•Confidence to work in a •professional environment</t>
  </si>
  <si>
    <t>#iNeuBytes #internship #onlineinternship #growth</t>
  </si>
  <si>
    <t>One started with cars.
The other bet on bikes.
Today, both are competing for the same customer.
Rapido vs Uber.
Who has the smarter strategy?
(iNeuBytes Internship teachs me how to analysis brands.)</t>
  </si>
  <si>
    <t>#iNeuBytes #Digital #Marketing 
#Rapido #Uber #transport</t>
  </si>
  <si>
    <t>My first internship at INeuBytes 
wasn't just another certificate to add to my portfolio----it was the moment I realized how much practical experience can change your perspective.
Before joining, I only had theoretical knowledge. During the internship, I worked on real digital marketing tasks, created LinkedIn content, analyzed businesses, improved my research skills, and learned how to present ideas in a professional way. Every task pushed me to think beyond the classroom.
The biggest takeaway wasn't a technical skill. It was confidence. Confidence to take ownership of work, solve problems independently, and believe that learning happens by doing.
That internship became the foundation of my journey in digital marketing and personal branding. Looking back, it wasn't just about completing an internship—it was about taking the first real step toward my career.</t>
  </si>
  <si>
    <t>#iNeuBytes #Digital #Marketing</t>
  </si>
  <si>
    <t>Another day. Another step forward.
Today wasn't just about completing tasks.
I learned how a well-written blog is structured, why SEO matters beyond keywords, and how content can solve problems instead of simply filling a page.
Every assignment at iNeuBytes is helping me think more like a marketer than just a content creator.
One day at a time. One skill at a time.</t>
  </si>
  <si>
    <t>#iNeuBytes #iNeuBytesInternship #DigitalMarketing #ContentWriting #Blogging #SEO #LearningInPublic #LinkedIn #InternshipJourney</t>
  </si>
  <si>
    <t>100,000+ impressions in 6 days. no big following, no fancy strategy. here's what I learned, which actually helped me grow —
had 145 connections, 159 followers. wasn't expecting anything tbh.
one single post crossed 102,000 impressions and reached 74,000+ people — I checked, 100% of it came from outside my own network. all strangers.
biggest thing I've learned so far — a post only works if it makes people curious. if someone doesn't stop and go "wait what" within the first line, the post is basically dead. doesn't matter how good the rest of it is.
I'm not flexing, I genuinely have nothing to flex about lol 159 followers is not a flex. just putting this out there bc 6 days ago I had zero and this actually happened. so if you're starting from scratch too — it's possible, not just something people say.
still don't fully know what I'm doing but yeah. wanted to share this anyway.
(Thanks to iNeuBytes for pushing me for content creation)</t>
  </si>
  <si>
    <t>#Growth #iNeuBytes #digital #maketing</t>
  </si>
  <si>
    <t>Quick test: can you guess why Facebook is called Facebook? (It's not what you think.) 👇
Turns out, none of the biggest tech names were picked at random — each one was a bet on what the founders wanted to become. Here's the real story behind 5 of them:
Facebook → named after the paper "face books" universities handed out so students could learn each other's names. The original offline social network.
Google → from "googol" (10^100) — a nod to organizing an almost infinite amount of information.
Apple → chosen for being simple and friendly, the opposite of the cold, intimidating "computer" image of the 1970s.
Microsoft → literally microcomputer + software. No  hidden meaning, just the exact gap they set out to fill.
Amazon → named after the world's largest river, reflecting Bezos's plan to build the largest store on Earth.
Did you get it right? Drop your guess before you scroll up — I want to see how many people knew this one.
(Researching about different brands and their Meaning and their decision for my #iNeuBytes internship).</t>
  </si>
  <si>
    <t>#TechHistory #Branding #DigitalMarketing #iNeuBytes 
#Onlineinternship</t>
  </si>
  <si>
    <t>Love him or hate him, Donald Trump's journey is impossible to ignore.
This isn't about politics—it's about analyzing one of the most talked-about careers of the modern era.
From real estate developer to global business icon, TV personality, U.S. President, electoral defeat, and an eventual return to the White House, his journey is filled with bold decisions, setbacks, controversy, and comebacks.
Every stage offers lessons in personal branding, media influence, leadership, crisis management, and resilience.
Whether you agree with his views or not, there's value in studying the journey.
What's the biggest lesson you take from Donald Trump's story?
( Donald trump use personal branding to go for a estate owner to president of US, iNeuBytes teaching us about perosnal Branding)</t>
  </si>
  <si>
    <t>At iNeuBytes, I learned that content creation isn't just about making good-looking posts—it's about helping a brand communicate its value.
Working on marketing tasks for the company taught me how to understand a brand, create engaging content, highlight its services, and connect with the right audience. Every assignment improved my creativity, research, and marketing mindset.
I'm grateful to iNeuBytes for giving me hands-on experience that strengthened both my content creation and digital marketing skills.</t>
  </si>
  <si>
    <t>#iNeuBytes #onlineinternship
#DigitalMarketing #summerinternship #learning #Marketing</t>
  </si>
  <si>
    <t>Discipline is the bridge between goals and achievements. 💙🧡
My journey as a Digital Marketing Intern at iNeuBytes has taught me that success isn't just about talent—it's about showing up consistently, meeting deadlines, staying curious, and continuously improving.
Through this internship, I've been gaining hands-on experience in: ✨ SEO Analysis ✨ Content Writing ✨ Social Media Marketing ✨ Market Research ✨ Campaign Assistance
Every task, mentor session, and project has helped me strengthen my skills while developing a disciplined and growth-oriented mindset.
A big thank you to iNeuBytes for providing a platform to learn, practice, and grow professionally. Looking forward to learning even more throughout this journey!
"Discipline turns opportunities into achievements." 🚀</t>
  </si>
  <si>
    <t>#iNeuBytes #iNeuBytesInternship #DigitalMarketing #Internship #LearningJourney #ProfessionalGrowth #SEO #ContentWriting #SocialMediaMarketing #CareerGrowth #SkillDevelopment #Discipline #Students #Marketing #VirtualInternship</t>
  </si>
  <si>
    <t>There was a time when I used to check websites manually and miss important SEO details.
During my Digital Marketing Internship at iNeuBytes, I discovered how much faster and smarter the right Chrome extensions can make SEO analysis. From checking meta tags and page performance to analyzing backlinks and competitors, these tools became part of my daily workflow.
Here are the SEO extensions I found most useful: 🔹 SEOquake 🔹 Detailed SEO Extension 🔹 Seobility 🔹 Lighthouse 🔹 Similarweb 🔹 MozBar
Each one solves a different problem, and together they make website analysis much more efficient.
I'm still learning, but every project teaches me something new, and I'm excited to keep improving my SEO skills.
Which SEO extension do you use the most? I'd love to hear your recommendations in the comments.</t>
  </si>
  <si>
    <t>#iNeuBytes #iNeuBytesInternship #SEO #DigitalMarketing #ChromeExtensions #WebsiteAudit #TechnicalSEO #LearningJourney #MarketingTools #ContentMarketing</t>
  </si>
  <si>
    <t>Every internship starts with a simple decision: to learn.
I created this step-by-step guide to the iNeuBytes Virtual Internship Program for anyone who wants to understand the journey before getting started. From registration to earning your internship certificate, this carousel walks through each stage in a simple and easy-to-follow way.
One thing I like is that the program focuses on practical learning through projects, helping you build skills while gaining hands-on experience.
If you're exploring virtual internship opportunities, you can learn more here:
https://lnkd.in/gA_dKGQg
Have you completed a virtual internship before? I'd love to hear about your experience in the comments.</t>
  </si>
  <si>
    <t>#iNeuBytes #VirtualInternship #InternshipJourney #SkillDevelopment #CareerGrowth #Students #DigitalMarketing #WebDevelopment #DataScience #ArtificialIntelligence #LearningByDoing</t>
  </si>
  <si>
    <t>People often say internships help you gain experience.
But I think the real purpose of an internship is much simpler:
An internship exists to turn theoretical knowledge into practical experience.
For the past 30 days as a Digital Marketing Intern at iNeuBytes, I got the opportunity to apply what I had only learned in classrooms.
I worked on content creation, explored SEO tools, created LinkedIn posts, learned digital marketing strategies, met deadlines, accepted feedback, and most importantly, understood how real work actually happens.
One moment I'm especially proud of? A piece of content I created crossed 100,000+ impressions. It reminded me that consistent effort and continuous learning always pay off.
I'm grateful to the entire iNeuBytes team for giving me this opportunity and for creating an environment where learning comes from doing.
This internship may have ended, but the lessons and confidence I gained will stay with me for a long time.
Once again thankyou iNeuBytes for this experiences.
Here's to learning, growing, and taking the next step. 🚀</t>
  </si>
  <si>
    <t>#Internship #iNeuBytes #DigitalMarketing #ContentCreation #SEO #LearningByDoing #CareerGrowth #Students #ProfessionalDevelopment #LinkedIn</t>
  </si>
  <si>
    <t>#Internship #ContentCreation #DigitalMarketing #LinkedIn #LearningInPublic #Growth #CareerJourney #iNeuBytes
#iNeuBytesinternship
#onlineinternship</t>
  </si>
  <si>
    <t>A few months ago, if someone had told me that one of my posts would cross 100,000+ impressions, I probably wouldn't have believed them.
When I started my first internship, I thought my work would mostly be about learning tools and completing small tasks.
Instead, I was given something much more exciting—content creation.
At first, I wasn't confident. Creating content that people would actually stop and read felt challenging. Every post made me question whether anyone would find it valuable.
But I kept showing up.
I learned how to write better hooks, design cleaner visuals, and share ideas that could genuinely help people. Some posts did okay, some didn't—but every post taught me something.
Then one day, I checked my LinkedIn analytics and saw that my content had crossed 100,000+ impressions.
That number wasn't just about views.
It was proof that consistency beats perfection.
I'm grateful to my first internship for trusting me with real responsibilities instead of just giving me routine work. That opportunity helped me build skills, confidence, and a portfolio that I'm genuinely proud of.
This is only the beginning, and I'm excited to keep learning, creating, and improving every single day.
Thank you to everyone who has read, liked, commented on, or shared my content. Your support means more than you know. ❤️</t>
  </si>
  <si>
    <t>10 AM</t>
  </si>
  <si>
    <t xml:space="preserve"> 10 AM</t>
  </si>
  <si>
    <t xml:space="preserve">                               10 AM</t>
  </si>
  <si>
    <t xml:space="preserve">No design needed  </t>
  </si>
  <si>
    <t>https://www.linkedin.com/posts/mohit-sukhija_ineubytes-ineubytes-brandvisibility-activity-7481693819051130880-KdKQ?utm_source=social_share_send&amp;utm_medium=android_app&amp;rcm=ACoAAGaFDK0BbyG1T-wOG0OIQPBDmmlKf9CNHpM&amp;utm_campaign=copy_link</t>
  </si>
  <si>
    <t>https://www.linkedin.com/posts/mohit-sukhija_ineubytes-ineubytes-contentcreator-activity-7481739080507187201-7sXn?utm_source=social_share_send&amp;utm_medium=android_app&amp;rcm=ACoAAGaFDK0BbyG1T-wOG0OIQPBDmmlKf9CNHpM&amp;utm_campaign=copy_link</t>
  </si>
  <si>
    <t>https://www.linkedin.com/posts/mohit-sukhija_ineubytes-onlineinternship-ineubytesintership-activity-7482063727001878528-BoLi?utm_source=social_share_send&amp;utm_medium=android_app&amp;rcm=ACoAAGaFDK0BbyG1T-wOG0OIQPBDmmlKf9CNHpM&amp;utm_campaign=copy_link</t>
  </si>
  <si>
    <t>https://www.linkedin.com/posts/mohit-sukhija_ineubytes-internship-certificates-activity-7482101470532923392-Ht3u?utm_source=social_share_send&amp;utm_medium=android_app&amp;rcm=ACoAAGaFDK0BbyG1T-wOG0OIQPBDmmlKf9CNHpM&amp;utm_campaign=copy_link</t>
  </si>
  <si>
    <t>https://www.linkedin.com/posts/mohit-sukhija_ineubytes-ineubytesinternship-onlineinternship-activity-7482426149864841216-xmLC?utm_source=social_share_send&amp;utm_medium=android_app&amp;rcm=ACoAAGaFDK0BbyG1T-wOG0OIQPBDmmlKf9CNHpM&amp;utm_campaign=copy_link</t>
  </si>
  <si>
    <t>https://www.linkedin.com/posts/mohit-sukhija_ineubytes-onlineinternship-ineubytesinternship-activity-7482463901285130240-AOnc?utm_source=social_share_send&amp;utm_medium=android_app&amp;rcm=ACoAAGaFDK0BbyG1T-wOG0OIQPBDmmlKf9CNHpM&amp;utm_campaign=copy_link</t>
  </si>
  <si>
    <t>https://www.linkedin.com/posts/mohit-sukhija_ineubytes-ineubytesintership-onlineinternship-activity-7482701443544600576-tFCQ?utm_source=social_share_send&amp;utm_medium=android_app&amp;rcm=ACoAAGaFDK0BbyG1T-wOG0OIQPBDmmlKf9CNHpM&amp;utm_campaign=copy_link</t>
  </si>
  <si>
    <t>https://www.linkedin.com/posts/mohit-sukhija_ineubytes-ineubytesinternship-onlineinternship-activity-7482826340757426176-a1s_?utm_source=social_share_send&amp;utm_medium=android_app&amp;rcm=ACoAAGaFDK0BbyG1T-wOG0OIQPBDmmlKf9CNHpM&amp;utm_campaign=copy_link</t>
  </si>
  <si>
    <t>https://www.linkedin.com/posts/mohit-sukhija_ineubytes-ineubytesinternship-onlineinternship-activity-7483158475489951744-hxPh?utm_source=social_share_send&amp;utm_medium=android_app&amp;rcm=ACoAAGaFDK0BbyG1T-wOG0OIQPBDmmlKf9CNHpM&amp;utm_campaign=copy_link</t>
  </si>
  <si>
    <t>https://www.linkedin.com/posts/mohit-sukhija_ineubytes-onlineintership-virtualinternship-activity-7483181097917366272-8ZcP?utm_source=social_share_send&amp;utm_medium=android_app&amp;rcm=ACoAAGaFDK0BbyG1T-wOG0OIQPBDmmlKf9CNHpM&amp;utm_campaign=copy_link</t>
  </si>
  <si>
    <t>https://www.linkedin.com/posts/mohit-sukhija_ineubytes-google-chrome-activity-7483513326409248769-BkIx?utm_source=social_share_send&amp;utm_medium=android_app&amp;rcm=ACoAAGaFDK0BbyG1T-wOG0OIQPBDmmlKf9CNHpM&amp;utm_campaign=copy_link</t>
  </si>
  <si>
    <t>https://www.linkedin.com/posts/mohit-sukhija_amazon-flipkart-business-activity-7483543490501431296-9i1a?utm_source=social_share_send&amp;utm_medium=android_app&amp;rcm=ACoAAGaFDK0BbyG1T-wOG0OIQPBDmmlKf9CNHpM&amp;utm_campaign=copy_link</t>
  </si>
  <si>
    <t>https://www.linkedin.com/posts/mohit-sukhija_artificialintelligence-chatgpt-claude-activity-7483868110924472320-UOCM?utm_source=social_share_send&amp;utm_medium=android_app&amp;rcm=ACoAAGaFDK0BbyG1T-wOG0OIQPBDmmlKf9CNHpM&amp;utm_campaign=copy_link</t>
  </si>
  <si>
    <t>https://www.linkedin.com/posts/mohit-sukhija_aws-amazon-jeffbezos-activity-7483732269828943872-x3o4?utm_source=social_share_send&amp;utm_medium=android_app&amp;rcm=ACoAAGaFDK0BbyG1T-wOG0OIQPBDmmlKf9CNHpM&amp;utm_campaign=copy_link</t>
  </si>
  <si>
    <t>https://www.linkedin.com/posts/mohit-sukhija_ineubytes-ineubytesinternship-onlineinternship-activity-7483188783400529920-JkDY?utm_source=social_share_send&amp;utm_medium=android_app&amp;rcm=ACoAAGaFDK0BbyG1T-wOG0OIQPBDmmlKf9CNHpM&amp;utm_campaign=copy_link</t>
  </si>
  <si>
    <t>https://www.linkedin.com/posts/mohit-sukhija_ineubytes-samsung-tech-activity-7483890785461956608-0Q-s?utm_source=social_share_send&amp;utm_medium=android_app&amp;rcm=ACoAAGaFDK0BbyG1T-wOG0OIQPBDmmlKf9CNHpM&amp;utm_campaign=copy_link</t>
  </si>
  <si>
    <t>https://www.linkedin.com/posts/mohit-sukhija_samsung-info-adapting-activity-7484260699012014080-FEZV?utm_source=social_share_send&amp;utm_medium=android_app&amp;rcm=ACoAAGaFDK0BbyG1T-wOG0OIQPBDmmlKf9CNHpM&amp;utm_campaign=copy_link</t>
  </si>
  <si>
    <t>https://www.linkedin.com/posts/mohit-sukhija_ineubytes-internship-onlineinternship-activity-7484275805519237120-N6lH?utm_source=social_share_send&amp;utm_medium=android_app&amp;rcm=ACoAAGaFDK0BbyG1T-wOG0OIQPBDmmlKf9CNHpM&amp;utm_campaign=copy_link</t>
  </si>
  <si>
    <t>https://www.linkedin.com/posts/mohit-sukhija_ineubytes-digital-marketing-activity-7484600532821532672-p2gV?utm_source=social_share_send&amp;utm_medium=android_app&amp;rcm=ACoAAGaFDK0BbyG1T-wOG0OIQPBDmmlKf9CNHpM&amp;utm_campaign=copy_link</t>
  </si>
  <si>
    <t>https://www.linkedin.com/posts/mohit-sukhija_ineubytes-digital-marketing-activity-7484615552284626945-5OG9?utm_source=social_share_send&amp;utm_medium=android_app&amp;rcm=ACoAAGaFDK0BbyG1T-wOG0OIQPBDmmlKf9CNHpM&amp;utm_campaign=copy_link</t>
  </si>
  <si>
    <t>https://www.linkedin.com/posts/mohit-sukhija_ineubytes-ineubytesinternship-digitalmarketing-activity-7484630637073821696-HnuO?utm_source=social_share_send&amp;utm_medium=android_app&amp;rcm=ACoAAGaFDK0BbyG1T-wOG0OIQPBDmmlKf9CNHpM&amp;utm_campaign=copy_link</t>
  </si>
  <si>
    <t>https://www.linkedin.com/posts/mohit-sukhija_growth-ineubytes-digital-activity-7484947748446932995-ljf5?utm_source=social_share_send&amp;utm_medium=android_app&amp;rcm=ACoAAGaFDK0BbyG1T-wOG0OIQPBDmmlKf9CNHpM&amp;utm_campaign=copy_link</t>
  </si>
  <si>
    <t>https://www.linkedin.com/posts/mohit-sukhija_ineubytes-techhistory-branding-activity-7484981706270285824-nsDw?utm_source=social_share_send&amp;utm_medium=android_app&amp;rcm=ACoAAGaFDK0BbyG1T-wOG0OIQPBDmmlKf9CNHpM&amp;utm_campaign=copy_link</t>
  </si>
  <si>
    <t>https://www.linkedin.com/posts/mohit-sukhija_casestudy-leadership-personalbranding-activity-7485302630311673856-jLz_?utm_source=social_share_send&amp;utm_medium=android_app&amp;rcm=ACoAAGaFDK0BbyG1T-wOG0OIQPBDmmlKf9CNHpM&amp;utm_campaign=copy_link</t>
  </si>
  <si>
    <t>https://www.linkedin.com/posts/mohit-sukhija_ineubytes-onlineinternship-digitalmarketing-activity-7485317770029699075-ecZv?utm_source=social_share_send&amp;utm_medium=android_app&amp;rcm=ACoAAGaFDK0BbyG1T-wOG0OIQPBDmmlKf9CNHpM&amp;utm_campaign=copy_link</t>
  </si>
  <si>
    <t>https://www.linkedin.com/posts/mohit-sukhija_ineubytes-ineubytesinternship-digitalmarketing-activity-7485332849122758656-KcTO?utm_source=social_share_send&amp;utm_medium=android_app&amp;rcm=ACoAAGaFDK0BbyG1T-wOG0OIQPBDmmlKf9CNHpM&amp;utm_campaign=copy_link</t>
  </si>
  <si>
    <t>https://www.linkedin.com/posts/mohit-sukhija_ineubytes-ineubytesinternship-seo-activity-7485664974061858816-V4Ah?utm_source=social_share_send&amp;utm_medium=android_app&amp;rcm=ACoAAGaFDK0BbyG1T-wOG0OIQPBDmmlKf9CNHpM&amp;utm_campaign=copy_link</t>
  </si>
  <si>
    <t>https://www.linkedin.com/posts/mohit-sukhija_ineubytes-virtualinternship-internshipjourney-activity-7485748015408914432-2Mfq?utm_source=social_share_send&amp;utm_medium=android_app&amp;rcm=ACoAAGaFDK0BbyG1T-wOG0OIQPBDmmlKf9CNHpM&amp;utm_campaign=copy_link</t>
  </si>
  <si>
    <t>https://www.linkedin.com/posts/mohit-sukhija_internship-contentcreation-digitalmarketing-activity-7485883898367971328-fDOk?utm_source=social_share_send&amp;utm_medium=android_app&amp;rcm=ACoAAGaFDK0BbyG1T-wOG0OIQPBDmmlKf9CNHpM&amp;utm_campaign=copy_link</t>
  </si>
  <si>
    <t>https://www.linkedin.com/posts/mohit-sukhija_internship-ineubytes-digitalmarketing-activity-7485914097075748865-bz2g?utm_source=social_share_send&amp;utm_medium=android_app&amp;rcm=ACoAAGaFDK0BbyG1T-wOG0OIQPBDmmlKf9CNHpM&amp;utm_campaign=copy_link</t>
  </si>
</sst>
</file>

<file path=xl/styles.xml><?xml version="1.0" encoding="utf-8"?>
<styleSheet xmlns="http://schemas.openxmlformats.org/spreadsheetml/2006/main">
  <numFmts count="8">
    <numFmt numFmtId="0" formatCode="General"/>
    <numFmt numFmtId="9" formatCode="0%"/>
    <numFmt numFmtId="17" formatCode="mmm\-yy"/>
    <numFmt numFmtId="164" formatCode="m/d/yyyy"/>
    <numFmt numFmtId="165" formatCode="h:mm"/>
    <numFmt numFmtId="14" formatCode="dd/mm/yyyy"/>
    <numFmt numFmtId="20" formatCode="hh:mm"/>
    <numFmt numFmtId="18" formatCode="h:mm\ AM/PM"/>
  </numFmts>
  <fonts count="78">
    <font>
      <name val="Arial"/>
      <sz val="10"/>
    </font>
    <font>
      <name val="Cambria"/>
      <b/>
      <sz val="16"/>
      <color rgb="FFFFFFFF"/>
    </font>
    <font>
      <name val="Cambria"/>
      <b/>
      <sz val="11"/>
      <color rgb="FFFFFFFF"/>
    </font>
    <font>
      <name val="Cambria"/>
      <b/>
      <sz val="11"/>
    </font>
    <font>
      <name val="Arial"/>
      <charset val="1"/>
      <sz val="10"/>
      <color rgb="FF000000"/>
    </font>
    <font>
      <name val="Cambria"/>
      <i/>
      <sz val="11"/>
      <color rgb="FF7F7F7F"/>
    </font>
    <font>
      <name val="Arial"/>
      <charset val="1"/>
      <sz val="72"/>
      <color rgb="FFFF0000"/>
    </font>
    <font>
      <name val="Times New Roman"/>
      <charset val="1"/>
      <sz val="10"/>
      <color rgb="FF000000"/>
    </font>
    <font>
      <name val="Times New Roman"/>
      <charset val="1"/>
      <sz val="11"/>
      <color rgb="FF000000"/>
    </font>
    <font>
      <name val="Arial"/>
      <u/>
      <sz val="10"/>
      <color indexed="20"/>
    </font>
    <font>
      <name val="Arial"/>
      <u/>
      <sz val="10"/>
      <color indexed="20"/>
    </font>
    <font>
      <name val="Arial"/>
      <u/>
      <sz val="10"/>
      <color indexed="20"/>
    </font>
    <font>
      <name val="Arial"/>
      <u/>
      <sz val="10"/>
      <color indexed="20"/>
    </font>
    <font>
      <name val="Times New Roman"/>
      <charset val="1"/>
      <u/>
      <sz val="11"/>
      <color rgb="FF000000"/>
    </font>
    <font>
      <name val="Times New Roman"/>
      <charset val="1"/>
      <sz val="18"/>
      <color rgb="FF000000"/>
    </font>
    <font>
      <name val="Cambria"/>
      <b/>
      <sz val="12"/>
      <color rgb="FFFFFFFF"/>
    </font>
    <font>
      <name val="Times New Roman"/>
      <b/>
      <charset val="1"/>
      <sz val="11"/>
      <color rgb="FF1F4A7E"/>
    </font>
    <font>
      <name val="Times New Roman"/>
      <charset val="1"/>
      <sz val="10"/>
    </font>
    <font>
      <name val="Times New Roman"/>
      <b/>
      <charset val="1"/>
      <sz val="14"/>
    </font>
    <font>
      <name val="Times New Roman"/>
      <charset val="1"/>
      <sz val="11"/>
    </font>
    <font>
      <name val="Times New Roman"/>
      <charset val="1"/>
      <u/>
      <sz val="11"/>
    </font>
    <font>
      <name val="Arial"/>
      <u/>
      <sz val="10"/>
      <color indexed="4"/>
    </font>
    <font>
      <name val="Arial"/>
      <u/>
      <sz val="10"/>
      <color indexed="20"/>
    </font>
    <font>
      <name val="Arial"/>
      <u/>
      <sz val="10"/>
      <color indexed="4"/>
    </font>
    <font>
      <name val="Arial"/>
      <u/>
      <sz val="10"/>
      <color indexed="4"/>
    </font>
    <font>
      <name val="Calibri"/>
      <b/>
      <charset val="1"/>
      <sz val="14"/>
      <color rgb="FFFFFFFF"/>
    </font>
    <font>
      <name val="Calibri"/>
      <charset val="1"/>
      <sz val="10"/>
      <color rgb="FF000000"/>
    </font>
    <font>
      <name val="Calibri"/>
      <charset val="1"/>
      <sz val="14"/>
      <color rgb="FF000000"/>
    </font>
    <font>
      <name val="Calibri"/>
      <charset val="1"/>
      <u/>
      <sz val="14"/>
      <color rgb="FF1155CC"/>
    </font>
    <font>
      <name val="Calibri"/>
      <b/>
      <charset val="1"/>
      <sz val="14"/>
      <color rgb="FF000000"/>
    </font>
    <font>
      <name val="Arial"/>
      <u/>
      <sz val="10"/>
      <color indexed="4"/>
    </font>
    <font>
      <name val="Arial"/>
      <u/>
      <sz val="10"/>
      <color indexed="20"/>
    </font>
    <font>
      <name val="Arial"/>
      <u/>
      <sz val="10"/>
      <color indexed="4"/>
    </font>
    <font>
      <name val="Arial"/>
      <u/>
      <sz val="10"/>
      <color indexed="4"/>
    </font>
    <font>
      <name val="Arial"/>
      <u/>
      <sz val="10"/>
      <color indexed="4"/>
    </font>
    <font>
      <name val="Arial"/>
      <u/>
      <sz val="10"/>
      <color indexed="4"/>
    </font>
    <font>
      <name val="Arial"/>
      <u/>
      <sz val="10"/>
      <color indexed="4"/>
    </font>
    <font>
      <name val="Arial"/>
      <u/>
      <sz val="10"/>
      <color indexed="4"/>
    </font>
    <font>
      <name val="Arial"/>
      <u/>
      <sz val="10"/>
      <color indexed="20"/>
    </font>
    <font>
      <name val="Arial"/>
      <u/>
      <sz val="10"/>
      <color indexed="4"/>
    </font>
    <font>
      <name val="Arial"/>
      <u/>
      <sz val="10"/>
      <color indexed="4"/>
    </font>
    <font>
      <name val="Arial"/>
      <u/>
      <sz val="10"/>
      <color indexed="4"/>
    </font>
    <font>
      <name val="Arial"/>
      <u/>
      <sz val="10"/>
      <color indexed="4"/>
    </font>
    <font>
      <name val="Arial"/>
      <u/>
      <sz val="10"/>
      <color indexed="4"/>
    </font>
    <font>
      <name val="Arial"/>
      <u/>
      <sz val="10"/>
      <color indexed="20"/>
    </font>
    <font>
      <name val="Arial"/>
      <u/>
      <sz val="10"/>
      <color indexed="4"/>
    </font>
    <font>
      <name val="Arial"/>
      <u/>
      <sz val="10"/>
      <color indexed="20"/>
    </font>
    <font>
      <name val="Arial"/>
      <u/>
      <sz val="10"/>
      <color indexed="4"/>
    </font>
    <font>
      <name val="Arial"/>
      <u/>
      <sz val="10"/>
      <color indexed="4"/>
    </font>
    <font>
      <name val="Arial"/>
      <u/>
      <sz val="10"/>
      <color indexed="20"/>
    </font>
    <font>
      <name val="Arial"/>
      <u/>
      <sz val="10"/>
      <color indexed="20"/>
    </font>
    <font>
      <name val="Arial"/>
      <u/>
      <sz val="10"/>
      <color indexed="4"/>
    </font>
    <font>
      <name val="Arial"/>
      <u/>
      <sz val="10"/>
      <color indexed="20"/>
    </font>
    <font>
      <name val="Arial"/>
      <b/>
      <charset val="1"/>
      <sz val="14"/>
      <color rgb="FF000000"/>
    </font>
    <font>
      <name val="Arial"/>
      <charset val="1"/>
      <sz val="10"/>
      <color rgb="FF000000"/>
    </font>
    <font>
      <name val="Arial"/>
      <b/>
      <charset val="1"/>
      <sz val="10"/>
      <color rgb="FFFFFFFF"/>
    </font>
    <font>
      <name val="Arial"/>
      <b/>
      <charset val="1"/>
      <sz val="10"/>
      <color rgb="FF000000"/>
    </font>
    <font>
      <name val="Arial"/>
      <charset val="1"/>
      <u/>
      <sz val="10"/>
      <color rgb="FF0000FF"/>
    </font>
    <font>
      <name val="Arial"/>
      <charset val="1"/>
      <sz val="10"/>
      <color rgb="FFFFFFFF"/>
    </font>
    <font>
      <name val="Arial"/>
      <charset val="1"/>
      <sz val="10"/>
      <color rgb="FF000000"/>
    </font>
    <font>
      <name val="Avenir Book"/>
      <charset val="1"/>
      <sz val="10"/>
      <color rgb="FF000000"/>
    </font>
    <font>
      <name val="Avenir Book"/>
      <charset val="1"/>
      <sz val="10"/>
      <color rgb="FF2D3E50"/>
    </font>
    <font>
      <name val="Avenir Book"/>
      <b/>
      <charset val="1"/>
      <sz val="12"/>
      <color rgb="FFFFFFFF"/>
    </font>
    <font>
      <name val="Calibri"/>
      <charset val="1"/>
      <sz val="18"/>
      <color rgb="FF9C5700"/>
    </font>
    <font>
      <name val="Avenir Book"/>
      <b/>
      <charset val="1"/>
      <sz val="10"/>
      <color rgb="FF000000"/>
    </font>
    <font>
      <name val="Arial"/>
      <u/>
      <sz val="10"/>
      <color indexed="20"/>
    </font>
    <font>
      <name val="Arial"/>
      <u/>
      <sz val="10"/>
      <color indexed="4"/>
    </font>
    <font>
      <name val="Arial"/>
      <u/>
      <sz val="10"/>
      <color indexed="20"/>
    </font>
    <font>
      <name val="Arial"/>
      <u/>
      <sz val="10"/>
      <color indexed="20"/>
    </font>
    <font>
      <name val="Arial"/>
      <u/>
      <sz val="10"/>
      <color indexed="20"/>
    </font>
    <font>
      <name val="Arial"/>
      <u/>
      <sz val="10"/>
      <color indexed="20"/>
    </font>
    <font>
      <name val="Arial"/>
      <u/>
      <sz val="10"/>
      <color indexed="4"/>
    </font>
    <font>
      <name val="Arial"/>
      <u/>
      <sz val="10"/>
      <color indexed="4"/>
    </font>
    <font>
      <name val="Arial"/>
      <u/>
      <sz val="10"/>
      <color indexed="4"/>
    </font>
    <font>
      <name val="Arial"/>
      <u/>
      <sz val="10"/>
      <color indexed="4"/>
    </font>
    <font>
      <name val="Arial"/>
      <u/>
      <sz val="10"/>
      <color indexed="4"/>
    </font>
    <font>
      <name val="Arial"/>
      <u/>
      <sz val="10"/>
      <color indexed="20"/>
    </font>
    <font>
      <name val="Arial"/>
      <u/>
      <sz val="10"/>
      <color rgb="FF0000FF"/>
    </font>
  </fonts>
  <fills count="35">
    <fill>
      <patternFill patternType="none"/>
    </fill>
    <fill>
      <patternFill patternType="gray125"/>
    </fill>
    <fill>
      <patternFill patternType="solid">
        <fgColor rgb="FF2A7E7E"/>
        <bgColor rgb="FF31859C"/>
      </patternFill>
    </fill>
    <fill>
      <patternFill patternType="solid">
        <fgColor rgb="FFB9D2D4"/>
        <bgColor rgb="FFC6D9F1"/>
      </patternFill>
    </fill>
    <fill>
      <patternFill patternType="solid">
        <fgColor rgb="FFFFFF00"/>
        <bgColor rgb="FFFBBC04"/>
      </patternFill>
    </fill>
    <fill>
      <patternFill patternType="solid">
        <fgColor rgb="FFEEECE1"/>
        <bgColor rgb="FFF2545B"/>
      </patternFill>
    </fill>
    <fill>
      <patternFill patternType="solid">
        <fgColor rgb="FFC6EFCE"/>
        <bgColor rgb="FFDBEEF4"/>
      </patternFill>
    </fill>
    <fill>
      <patternFill patternType="solid">
        <fgColor rgb="FFFFEB9C"/>
        <bgColor rgb="FFFCD5B5"/>
      </patternFill>
    </fill>
    <fill>
      <patternFill patternType="solid">
        <fgColor rgb="FFFFC7CE"/>
        <bgColor rgb="FFFCD5B5"/>
      </patternFill>
    </fill>
    <fill>
      <patternFill patternType="solid">
        <fgColor rgb="FF0000FF"/>
        <bgColor rgb="FF0000FF"/>
      </patternFill>
    </fill>
    <fill>
      <patternFill patternType="solid">
        <fgColor rgb="FFFF9900"/>
        <bgColor rgb="FFFBBC04"/>
      </patternFill>
    </fill>
    <fill>
      <patternFill patternType="solid">
        <fgColor rgb="FFFF8F59"/>
        <bgColor rgb="FFFF9900"/>
      </patternFill>
    </fill>
    <fill>
      <patternFill patternType="solid">
        <fgColor rgb="FFEEECE1"/>
        <bgColor rgb="FFEBF1DE"/>
      </patternFill>
    </fill>
    <fill>
      <patternFill patternType="solid">
        <fgColor rgb="FFC0514D"/>
        <bgColor rgb="FFF2545B"/>
      </patternFill>
    </fill>
    <fill>
      <patternFill patternType="solid">
        <fgColor rgb="FFFBBC04"/>
        <bgColor rgb="FFFF9900"/>
      </patternFill>
    </fill>
    <fill>
      <patternFill patternType="solid">
        <fgColor rgb="FF1F4A7E"/>
        <bgColor rgb="FF2D3E50"/>
      </patternFill>
    </fill>
    <fill>
      <patternFill patternType="solid">
        <fgColor rgb="FFF2F2F2"/>
        <bgColor rgb="FFEEECE1"/>
      </patternFill>
    </fill>
    <fill>
      <patternFill patternType="solid">
        <fgColor rgb="FF7F7F7F"/>
        <bgColor rgb="FF878787"/>
      </patternFill>
    </fill>
    <fill>
      <patternFill patternType="solid">
        <fgColor rgb="FFDDD9C3"/>
        <bgColor rgb="FFD9D9D9"/>
      </patternFill>
    </fill>
    <fill>
      <patternFill patternType="solid">
        <fgColor rgb="FFC6D9F0"/>
        <bgColor rgb="FFD9D9D9"/>
      </patternFill>
    </fill>
    <fill>
      <patternFill patternType="solid">
        <fgColor rgb="FFDCE5F1"/>
        <bgColor rgb="FFDBEEF4"/>
      </patternFill>
    </fill>
    <fill>
      <patternFill patternType="solid">
        <fgColor rgb="FFF2DCDB"/>
        <bgColor rgb="FFE6E0EC"/>
      </patternFill>
    </fill>
    <fill>
      <patternFill patternType="solid">
        <fgColor rgb="FFEAF1DD"/>
        <bgColor rgb="FFEEECE1"/>
      </patternFill>
    </fill>
    <fill>
      <patternFill patternType="solid">
        <fgColor rgb="FFE5DFEC"/>
        <bgColor rgb="FFDCE6F2"/>
      </patternFill>
    </fill>
    <fill>
      <patternFill patternType="solid">
        <fgColor rgb="FFDBEEF3"/>
        <bgColor rgb="FFDCE6F2"/>
      </patternFill>
    </fill>
    <fill>
      <patternFill patternType="solid">
        <fgColor rgb="FFFBD4B4"/>
        <bgColor rgb="FFFFC7CE"/>
      </patternFill>
    </fill>
    <fill>
      <patternFill patternType="solid">
        <fgColor rgb="FFE36B09"/>
        <bgColor rgb="FFF2545B"/>
      </patternFill>
    </fill>
    <fill>
      <patternFill patternType="solid">
        <fgColor rgb="FF31859C"/>
        <bgColor rgb="FF2A7E7E"/>
      </patternFill>
    </fill>
    <fill>
      <patternFill patternType="solid">
        <fgColor rgb="FF5F4979"/>
        <bgColor rgb="FF376092"/>
      </patternFill>
    </fill>
    <fill>
      <patternFill patternType="solid">
        <fgColor rgb="FF376092"/>
        <bgColor rgb="FF1F497D"/>
      </patternFill>
    </fill>
    <fill>
      <patternFill patternType="solid">
        <fgColor rgb="FF2D3E50"/>
        <bgColor rgb="FF1F497D"/>
      </patternFill>
    </fill>
    <fill>
      <patternFill patternType="solid">
        <fgColor rgb="FF92D050"/>
        <bgColor rgb="FFBFBFBF"/>
      </patternFill>
    </fill>
    <fill>
      <patternFill patternType="solid">
        <fgColor rgb="FF00B0F0"/>
        <bgColor rgb="FF31859C"/>
      </patternFill>
    </fill>
    <fill>
      <patternFill patternType="solid">
        <fgColor rgb="FFF2545B"/>
        <bgColor rgb="FFC0504D"/>
      </patternFill>
    </fill>
    <fill>
      <patternFill patternType="solid">
        <fgColor rgb="FF6A78D1"/>
        <bgColor rgb="FF4F81BD"/>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2">
    <xf numFmtId="0" fontId="0" fillId="0" borderId="0">
      <alignment vertical="center"/>
    </xf>
    <xf numFmtId="0" fontId="77" fillId="0" borderId="0">
      <alignment vertical="bottom"/>
      <protection locked="0" hidden="0"/>
    </xf>
  </cellStyleXfs>
  <cellXfs count="270">
    <xf numFmtId="0" fontId="0" fillId="0" borderId="0" xfId="0">
      <alignment vertical="center"/>
    </xf>
    <xf numFmtId="0" fontId="1" fillId="2" borderId="0" xfId="0" applyFont="1" applyFill="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vertical="bottom"/>
    </xf>
    <xf numFmtId="0" fontId="4" fillId="0" borderId="1" xfId="0" applyBorder="1" applyAlignment="1">
      <alignment horizontal="center" vertical="bottom"/>
    </xf>
    <xf numFmtId="9" fontId="4" fillId="0" borderId="1" xfId="0" applyNumberFormat="1" applyBorder="1" applyAlignment="1">
      <alignment horizontal="center" vertical="bottom"/>
    </xf>
    <xf numFmtId="0" fontId="3" fillId="3" borderId="1" xfId="0" applyFont="1" applyFill="1" applyBorder="1" applyAlignment="1">
      <alignment vertical="bottom"/>
    </xf>
    <xf numFmtId="0" fontId="3" fillId="3" borderId="1" xfId="0" applyFont="1" applyFill="1" applyBorder="1" applyAlignment="1">
      <alignment horizontal="center" vertical="bottom"/>
    </xf>
    <xf numFmtId="9" fontId="3" fillId="3" borderId="1" xfId="0" applyNumberFormat="1" applyFont="1" applyFill="1" applyBorder="1" applyAlignment="1">
      <alignment vertical="bottom"/>
    </xf>
    <xf numFmtId="0" fontId="5" fillId="0" borderId="0" xfId="0" applyFont="1" applyAlignment="1">
      <alignment vertical="bottom"/>
    </xf>
    <xf numFmtId="0" fontId="6" fillId="0" borderId="0" xfId="0" applyFont="1" applyAlignment="1">
      <alignment horizontal="center" vertical="center"/>
    </xf>
    <xf numFmtId="0" fontId="4" fillId="0" borderId="0" xfId="0">
      <alignment vertical="center"/>
    </xf>
    <xf numFmtId="0" fontId="7" fillId="0" borderId="0" xfId="0" applyFont="1" applyAlignment="1">
      <alignment vertical="bottom"/>
    </xf>
    <xf numFmtId="0" fontId="8" fillId="0" borderId="2" xfId="0" applyFont="1" applyBorder="1" applyAlignment="1">
      <alignment vertical="bottom"/>
    </xf>
    <xf numFmtId="0" fontId="8" fillId="0" borderId="3" xfId="0" applyFont="1" applyBorder="1" applyAlignment="1">
      <alignment horizontal="center" vertical="bottom"/>
    </xf>
    <xf numFmtId="0" fontId="8" fillId="0" borderId="3" xfId="0" applyFont="1" applyBorder="1" applyAlignment="1">
      <alignment vertical="bottom"/>
    </xf>
    <xf numFmtId="0" fontId="9" fillId="0" borderId="4" xfId="0" applyFont="1" applyBorder="1" applyAlignment="1">
      <alignment vertical="bottom"/>
    </xf>
    <xf numFmtId="0" fontId="10" fillId="0" borderId="3" xfId="0" applyFont="1" applyBorder="1" applyAlignment="1">
      <alignment horizontal="center" vertical="bottom"/>
    </xf>
    <xf numFmtId="0" fontId="10" fillId="0" borderId="3" xfId="0" applyFont="1" applyBorder="1" applyAlignment="1">
      <alignment vertical="bottom"/>
    </xf>
    <xf numFmtId="0" fontId="8" fillId="0" borderId="5" xfId="0" applyFont="1" applyBorder="1" applyAlignment="1">
      <alignment vertical="bottom"/>
    </xf>
    <xf numFmtId="0" fontId="11" fillId="0" borderId="3" xfId="0" applyFont="1" applyBorder="1" applyAlignment="1">
      <alignment vertical="bottom"/>
    </xf>
    <xf numFmtId="0" fontId="12" fillId="0" borderId="3" xfId="0" applyFont="1" applyBorder="1" applyAlignment="1">
      <alignment vertical="bottom"/>
    </xf>
    <xf numFmtId="0" fontId="12" fillId="0" borderId="6" xfId="0" applyFont="1" applyBorder="1" applyAlignment="1">
      <alignment vertical="bottom"/>
    </xf>
    <xf numFmtId="0" fontId="13" fillId="0" borderId="3" xfId="0" applyFont="1" applyBorder="1" applyAlignment="1">
      <alignment vertical="bottom"/>
    </xf>
    <xf numFmtId="0" fontId="8" fillId="0" borderId="6" xfId="0" applyFont="1" applyBorder="1" applyAlignment="1">
      <alignment vertical="bottom"/>
    </xf>
    <xf numFmtId="17" fontId="13" fillId="0" borderId="3" xfId="0" applyNumberFormat="1" applyFont="1" applyBorder="1" applyAlignment="1">
      <alignment vertical="bottom" wrapText="1"/>
    </xf>
    <xf numFmtId="0" fontId="14" fillId="4" borderId="0" xfId="0" applyFont="1" applyFill="1" applyAlignment="1">
      <alignment horizontal="center" vertical="bottom"/>
    </xf>
    <xf numFmtId="0" fontId="15" fillId="2" borderId="0" xfId="0" applyFont="1" applyFill="1" applyAlignment="1">
      <alignment horizontal="center" vertical="center"/>
    </xf>
    <xf numFmtId="0" fontId="16" fillId="5" borderId="0" xfId="0" applyFont="1" applyFill="1" applyAlignment="1">
      <alignment horizontal="center" vertical="center" wrapText="1"/>
    </xf>
    <xf numFmtId="0" fontId="16" fillId="5" borderId="0" xfId="0" applyFont="1" applyFill="1" applyAlignment="1">
      <alignment horizontal="center" vertical="bottom"/>
    </xf>
    <xf numFmtId="0" fontId="3" fillId="0" borderId="1" xfId="0" applyFont="1" applyBorder="1" applyAlignment="1">
      <alignment horizontal="center" vertical="bottom"/>
    </xf>
    <xf numFmtId="0" fontId="17" fillId="3" borderId="7" xfId="0" applyFont="1" applyFill="1" applyBorder="1" applyAlignment="1">
      <alignment vertical="bottom"/>
    </xf>
    <xf numFmtId="0" fontId="18" fillId="3" borderId="7" xfId="0" applyFont="1" applyFill="1" applyBorder="1" applyAlignment="1">
      <alignment horizontal="center" vertical="bottom" wrapText="1"/>
    </xf>
    <xf numFmtId="0" fontId="19" fillId="6" borderId="8" xfId="0" applyFont="1" applyFill="1" applyBorder="1" applyAlignment="1">
      <alignment vertical="bottom"/>
    </xf>
    <xf numFmtId="0" fontId="17" fillId="0" borderId="9" xfId="0" applyFont="1" applyBorder="1" applyAlignment="1">
      <alignment horizontal="center" vertical="bottom"/>
    </xf>
    <xf numFmtId="0" fontId="19" fillId="0" borderId="9" xfId="0" applyFont="1" applyBorder="1" applyAlignment="1">
      <alignment vertical="bottom" wrapText="1"/>
    </xf>
    <xf numFmtId="0" fontId="17" fillId="0" borderId="1" xfId="0" applyFont="1" applyBorder="1" applyAlignment="1">
      <alignment horizontal="center" vertical="center"/>
    </xf>
    <xf numFmtId="9" fontId="3" fillId="0" borderId="1" xfId="0" applyNumberFormat="1" applyFont="1" applyBorder="1" applyAlignment="1">
      <alignment horizontal="center" vertical="bottom"/>
    </xf>
    <xf numFmtId="0" fontId="19" fillId="7" borderId="8" xfId="0" applyFont="1" applyFill="1" applyBorder="1" applyAlignment="1">
      <alignment vertical="bottom"/>
    </xf>
    <xf numFmtId="0" fontId="19" fillId="8" borderId="8" xfId="0" applyFont="1" applyFill="1" applyBorder="1" applyAlignment="1">
      <alignment vertical="bottom"/>
    </xf>
    <xf numFmtId="0" fontId="20" fillId="0" borderId="9" xfId="0" applyFont="1" applyBorder="1" applyAlignment="1">
      <alignment vertical="bottom" wrapText="1"/>
    </xf>
    <xf numFmtId="0" fontId="18" fillId="3" borderId="10" xfId="0" applyFont="1" applyFill="1" applyBorder="1" applyAlignment="1">
      <alignment horizontal="center" vertical="bottom" wrapText="1"/>
    </xf>
    <xf numFmtId="0" fontId="19" fillId="0" borderId="1" xfId="0" applyFont="1" applyBorder="1" applyAlignment="1">
      <alignment horizontal="center" vertical="center"/>
    </xf>
    <xf numFmtId="0" fontId="19" fillId="0" borderId="9" xfId="0" applyFont="1" applyBorder="1" applyAlignment="1">
      <alignment horizontal="center" vertical="bottom" wrapText="1"/>
    </xf>
    <xf numFmtId="0" fontId="21" fillId="0" borderId="3" xfId="0" applyFont="1" applyBorder="1" applyAlignment="1">
      <alignment horizontal="center" vertical="bottom"/>
    </xf>
    <xf numFmtId="0" fontId="9" fillId="0" borderId="3" xfId="0" applyFont="1" applyBorder="1" applyAlignment="1">
      <alignment vertical="bottom"/>
    </xf>
    <xf numFmtId="0" fontId="22" fillId="0" borderId="3" xfId="0" applyFont="1" applyBorder="1" applyAlignment="1">
      <alignment vertical="bottom"/>
    </xf>
    <xf numFmtId="0" fontId="8" fillId="0" borderId="3" xfId="0" applyFont="1" applyBorder="1" applyAlignment="1">
      <alignment vertical="bottom" wrapText="1"/>
    </xf>
    <xf numFmtId="0" fontId="9" fillId="0" borderId="3" xfId="0" applyFont="1" applyBorder="1" applyAlignment="1">
      <alignment horizontal="center" vertical="bottom"/>
    </xf>
    <xf numFmtId="0" fontId="23" fillId="0" borderId="3" xfId="0" applyFont="1" applyBorder="1" applyAlignment="1">
      <alignment vertical="bottom"/>
    </xf>
    <xf numFmtId="0" fontId="24" fillId="0" borderId="3" xfId="0" applyFont="1" applyBorder="1" applyAlignment="1">
      <alignment vertical="bottom"/>
    </xf>
    <xf numFmtId="17" fontId="13" fillId="0" borderId="3" xfId="0" applyNumberFormat="1" applyFont="1" applyBorder="1" applyAlignment="1">
      <alignment vertical="bottom"/>
    </xf>
    <xf numFmtId="17" fontId="19" fillId="0" borderId="9" xfId="0" applyNumberFormat="1" applyFont="1" applyBorder="1" applyAlignment="1">
      <alignment vertical="bottom" wrapText="1"/>
    </xf>
    <xf numFmtId="0" fontId="25" fillId="9" borderId="0" xfId="0" applyFont="1" applyFill="1" applyAlignment="1">
      <alignment vertical="bottom" wrapText="1"/>
    </xf>
    <xf numFmtId="0" fontId="26" fillId="0" borderId="0" xfId="0" applyFont="1" applyAlignment="1">
      <alignment vertical="bottom" wrapText="1"/>
    </xf>
    <xf numFmtId="0" fontId="27" fillId="0" borderId="0" xfId="0" applyFont="1" applyAlignment="1">
      <alignment vertical="bottom" wrapText="1"/>
    </xf>
    <xf numFmtId="0" fontId="28" fillId="0" borderId="0" xfId="0" applyFont="1" applyAlignment="1">
      <alignment vertical="bottom" wrapText="1"/>
    </xf>
    <xf numFmtId="164" fontId="27" fillId="0" borderId="0" xfId="0" applyNumberFormat="1" applyFont="1" applyAlignment="1">
      <alignment vertical="bottom" wrapText="1"/>
    </xf>
    <xf numFmtId="0" fontId="29" fillId="4" borderId="0" xfId="0" applyFont="1" applyFill="1" applyAlignment="1">
      <alignment horizontal="center" vertical="bottom" wrapText="1"/>
    </xf>
    <xf numFmtId="0" fontId="29" fillId="10" borderId="1" xfId="0" applyFont="1" applyFill="1" applyBorder="1" applyAlignment="1">
      <alignment horizontal="center" vertical="bottom" wrapText="1"/>
    </xf>
    <xf numFmtId="0" fontId="29" fillId="10" borderId="1" xfId="0" applyFont="1" applyFill="1" applyBorder="1" applyAlignment="1">
      <alignment vertical="bottom" wrapText="1"/>
    </xf>
    <xf numFmtId="0" fontId="27" fillId="0" borderId="1" xfId="0" applyFont="1" applyBorder="1" applyAlignment="1">
      <alignment vertical="bottom" wrapText="1"/>
    </xf>
    <xf numFmtId="0" fontId="26" fillId="0" borderId="1" xfId="0" applyFont="1" applyBorder="1" applyAlignment="1">
      <alignment vertical="bottom"/>
    </xf>
    <xf numFmtId="0" fontId="30" fillId="0" borderId="1" xfId="0" applyFont="1" applyBorder="1" applyAlignment="1">
      <alignment vertical="bottom"/>
    </xf>
    <xf numFmtId="0" fontId="31" fillId="0" borderId="1" xfId="0" applyFont="1" applyBorder="1" applyAlignment="1">
      <alignment vertical="bottom"/>
    </xf>
    <xf numFmtId="0" fontId="9" fillId="0" borderId="1" xfId="0" applyFont="1" applyBorder="1" applyAlignment="1">
      <alignment vertical="bottom"/>
    </xf>
    <xf numFmtId="0" fontId="32" fillId="0" borderId="1" xfId="0" applyFont="1" applyBorder="1" applyAlignment="1">
      <alignment vertical="bottom"/>
    </xf>
    <xf numFmtId="0" fontId="33" fillId="0" borderId="1" xfId="0" applyFont="1" applyBorder="1" applyAlignment="1">
      <alignment vertical="bottom"/>
    </xf>
    <xf numFmtId="0" fontId="34" fillId="0" borderId="1" xfId="0" applyFont="1" applyBorder="1" applyAlignment="1">
      <alignment vertical="bottom"/>
    </xf>
    <xf numFmtId="0" fontId="35" fillId="0" borderId="1" xfId="0" applyFont="1" applyBorder="1" applyAlignment="1">
      <alignment vertical="bottom"/>
    </xf>
    <xf numFmtId="0" fontId="36" fillId="0" borderId="1" xfId="0" applyFont="1" applyBorder="1" applyAlignment="1">
      <alignment vertical="bottom"/>
    </xf>
    <xf numFmtId="0" fontId="37" fillId="0" borderId="1" xfId="0" applyFont="1" applyBorder="1" applyAlignment="1">
      <alignment vertical="bottom"/>
    </xf>
    <xf numFmtId="0" fontId="38" fillId="0" borderId="1" xfId="0" applyFont="1" applyBorder="1" applyAlignment="1">
      <alignment vertical="bottom"/>
    </xf>
    <xf numFmtId="0" fontId="39" fillId="0" borderId="1" xfId="0" applyFont="1" applyBorder="1" applyAlignment="1">
      <alignment vertical="bottom"/>
    </xf>
    <xf numFmtId="0" fontId="40" fillId="0" borderId="1" xfId="0" applyFont="1" applyBorder="1" applyAlignment="1">
      <alignment vertical="bottom"/>
    </xf>
    <xf numFmtId="0" fontId="41" fillId="0" borderId="1" xfId="0" applyFont="1" applyBorder="1" applyAlignment="1">
      <alignment vertical="bottom"/>
    </xf>
    <xf numFmtId="0" fontId="42" fillId="0" borderId="1" xfId="0" applyFont="1" applyBorder="1" applyAlignment="1">
      <alignment vertical="bottom"/>
    </xf>
    <xf numFmtId="0" fontId="43" fillId="0" borderId="1" xfId="0" applyFont="1" applyBorder="1" applyAlignment="1">
      <alignment vertical="bottom"/>
    </xf>
    <xf numFmtId="0" fontId="44" fillId="0" borderId="1" xfId="0" applyFont="1" applyBorder="1" applyAlignment="1">
      <alignment vertical="bottom"/>
    </xf>
    <xf numFmtId="0" fontId="45" fillId="0" borderId="1" xfId="0" applyFont="1" applyBorder="1" applyAlignment="1">
      <alignment vertical="bottom"/>
    </xf>
    <xf numFmtId="0" fontId="46" fillId="0" borderId="1" xfId="0" applyFont="1" applyBorder="1" applyAlignment="1">
      <alignment vertical="bottom"/>
    </xf>
    <xf numFmtId="0" fontId="47" fillId="0" borderId="1" xfId="0" applyFont="1" applyBorder="1" applyAlignment="1">
      <alignment vertical="bottom"/>
    </xf>
    <xf numFmtId="0" fontId="48" fillId="0" borderId="1" xfId="0" applyFont="1" applyBorder="1" applyAlignment="1">
      <alignment vertical="bottom"/>
    </xf>
    <xf numFmtId="0" fontId="49" fillId="0" borderId="1" xfId="0" applyFont="1" applyBorder="1" applyAlignment="1">
      <alignment vertical="bottom"/>
    </xf>
    <xf numFmtId="0" fontId="50" fillId="0" borderId="1" xfId="0" applyFont="1" applyBorder="1" applyAlignment="1">
      <alignment vertical="bottom"/>
    </xf>
    <xf numFmtId="0" fontId="51" fillId="0" borderId="1" xfId="0" applyFont="1" applyBorder="1" applyAlignment="1">
      <alignment vertical="bottom"/>
    </xf>
    <xf numFmtId="0" fontId="52" fillId="0" borderId="1" xfId="0" applyFont="1" applyBorder="1" applyAlignment="1">
      <alignment vertical="bottom"/>
    </xf>
    <xf numFmtId="0" fontId="26" fillId="0" borderId="0" xfId="0" applyFont="1" applyAlignment="1">
      <alignment vertical="bottom"/>
    </xf>
    <xf numFmtId="0" fontId="53" fillId="11" borderId="0" xfId="0" applyFont="1" applyFill="1" applyAlignment="1">
      <alignment horizontal="center" vertical="bottom"/>
    </xf>
    <xf numFmtId="0" fontId="54" fillId="12" borderId="0" xfId="0" applyFont="1" applyFill="1" applyAlignment="1">
      <alignment vertical="bottom"/>
    </xf>
    <xf numFmtId="0" fontId="55" fillId="13" borderId="0" xfId="0" applyFont="1" applyFill="1" applyAlignment="1">
      <alignment horizontal="center" vertical="bottom"/>
    </xf>
    <xf numFmtId="0" fontId="56" fillId="14" borderId="0" xfId="0" applyFont="1" applyFill="1" applyAlignment="1">
      <alignment horizontal="center" vertical="bottom" wrapText="1"/>
    </xf>
    <xf numFmtId="0" fontId="55" fillId="15" borderId="0" xfId="0" applyFont="1" applyFill="1" applyAlignment="1">
      <alignment horizontal="center" vertical="bottom" wrapText="1"/>
    </xf>
    <xf numFmtId="0" fontId="4" fillId="16" borderId="0" xfId="0" applyFill="1" applyAlignment="1">
      <alignment vertical="bottom"/>
    </xf>
    <xf numFmtId="0" fontId="54" fillId="0" borderId="0" xfId="0" applyFont="1" applyAlignment="1">
      <alignment horizontal="left" vertical="top" wrapText="1"/>
    </xf>
    <xf numFmtId="0" fontId="54" fillId="0" borderId="0" xfId="0" applyFont="1" applyAlignment="1">
      <alignment vertical="bottom"/>
    </xf>
    <xf numFmtId="0" fontId="57" fillId="0" borderId="0" xfId="0" applyFont="1" applyAlignment="1">
      <alignment horizontal="center" vertical="top" wrapText="1"/>
    </xf>
    <xf numFmtId="0" fontId="54" fillId="0" borderId="0" xfId="0" applyFont="1" applyAlignment="1">
      <alignment horizontal="center" vertical="top" wrapText="1"/>
    </xf>
    <xf numFmtId="0" fontId="4" fillId="17" borderId="0" xfId="0" applyFill="1" applyAlignment="1">
      <alignment vertical="bottom"/>
    </xf>
    <xf numFmtId="0" fontId="4" fillId="0" borderId="0" xfId="0" applyAlignment="1">
      <alignment horizontal="center" vertical="top" wrapText="1"/>
    </xf>
    <xf numFmtId="0" fontId="4" fillId="18" borderId="0" xfId="0" applyFill="1" applyAlignment="1">
      <alignment vertical="bottom"/>
    </xf>
    <xf numFmtId="0" fontId="4" fillId="19" borderId="0" xfId="0" applyFill="1" applyAlignment="1">
      <alignment vertical="bottom"/>
    </xf>
    <xf numFmtId="0" fontId="54" fillId="20" borderId="0" xfId="0" applyFont="1" applyFill="1" applyAlignment="1">
      <alignment vertical="bottom"/>
    </xf>
    <xf numFmtId="0" fontId="4" fillId="21" borderId="0" xfId="0" applyFill="1" applyAlignment="1">
      <alignment vertical="bottom"/>
    </xf>
    <xf numFmtId="0" fontId="4" fillId="22" borderId="0" xfId="0" applyFill="1" applyAlignment="1">
      <alignment vertical="bottom"/>
    </xf>
    <xf numFmtId="0" fontId="4" fillId="23" borderId="0" xfId="0" applyFill="1" applyAlignment="1">
      <alignment vertical="bottom"/>
    </xf>
    <xf numFmtId="0" fontId="4" fillId="24" borderId="0" xfId="0" applyFill="1" applyAlignment="1">
      <alignment vertical="bottom"/>
    </xf>
    <xf numFmtId="0" fontId="4" fillId="25" borderId="0" xfId="0" applyFill="1" applyAlignment="1">
      <alignment vertical="bottom"/>
    </xf>
    <xf numFmtId="0" fontId="4" fillId="26" borderId="0" xfId="0" applyFill="1" applyAlignment="1">
      <alignment vertical="bottom"/>
    </xf>
    <xf numFmtId="0" fontId="4" fillId="27" borderId="0" xfId="0" applyFill="1" applyAlignment="1">
      <alignment vertical="bottom"/>
    </xf>
    <xf numFmtId="0" fontId="4" fillId="28" borderId="0" xfId="0" applyFill="1" applyAlignment="1">
      <alignment vertical="bottom"/>
    </xf>
    <xf numFmtId="0" fontId="54" fillId="29" borderId="0" xfId="0" applyFont="1" applyFill="1" applyAlignment="1">
      <alignment vertical="bottom"/>
    </xf>
    <xf numFmtId="0" fontId="4" fillId="30" borderId="0" xfId="0" applyFill="1" applyAlignment="1">
      <alignment vertical="bottom"/>
    </xf>
    <xf numFmtId="0" fontId="4" fillId="4" borderId="0" xfId="0" applyFill="1" applyAlignment="1">
      <alignment vertical="bottom"/>
    </xf>
    <xf numFmtId="0" fontId="4" fillId="31" borderId="0" xfId="0" applyFill="1" applyAlignment="1">
      <alignment vertical="bottom"/>
    </xf>
    <xf numFmtId="0" fontId="4" fillId="32" borderId="0" xfId="0" applyFill="1" applyAlignment="1">
      <alignment vertical="bottom"/>
    </xf>
    <xf numFmtId="0" fontId="4" fillId="33" borderId="0" xfId="0" applyFill="1" applyAlignment="1">
      <alignment vertical="bottom"/>
    </xf>
    <xf numFmtId="0" fontId="4" fillId="34" borderId="0" xfId="0" applyFill="1" applyAlignment="1">
      <alignment vertical="bottom"/>
    </xf>
    <xf numFmtId="0" fontId="58" fillId="29" borderId="0" xfId="0" applyFont="1" applyFill="1" applyAlignment="1">
      <alignment vertical="bottom"/>
    </xf>
    <xf numFmtId="0" fontId="54" fillId="0" borderId="0" xfId="0" applyFont="1" applyAlignment="1">
      <alignment vertical="top" wrapText="1"/>
    </xf>
    <xf numFmtId="0" fontId="54" fillId="0" borderId="0" xfId="0" applyFont="1" applyAlignment="1">
      <alignment vertical="bottom" wrapText="1"/>
    </xf>
    <xf numFmtId="164" fontId="54" fillId="0" borderId="0" xfId="0" applyNumberFormat="1" applyFont="1" applyAlignment="1">
      <alignment vertical="bottom" wrapText="1"/>
    </xf>
    <xf numFmtId="165" fontId="4" fillId="0" borderId="0" xfId="0" applyNumberFormat="1" applyAlignment="1">
      <alignment vertical="bottom"/>
    </xf>
    <xf numFmtId="0" fontId="9" fillId="0" borderId="0" xfId="1" applyFont="1" applyAlignment="1">
      <alignment vertical="bottom" wrapText="1"/>
    </xf>
    <xf numFmtId="0" fontId="2" fillId="2" borderId="0" xfId="0" applyFont="1" applyFill="1" applyAlignment="1">
      <alignment horizontal="center" vertical="bottom"/>
    </xf>
    <xf numFmtId="0" fontId="56" fillId="0" borderId="1" xfId="0" applyFont="1" applyBorder="1" applyAlignment="1">
      <alignment vertical="top" wrapText="1"/>
    </xf>
    <xf numFmtId="0" fontId="4" fillId="0" borderId="1" xfId="0"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20" fontId="4" fillId="0" borderId="1" xfId="0" applyNumberFormat="1" applyBorder="1" applyAlignment="1">
      <alignment vertical="top" wrapText="1"/>
    </xf>
    <xf numFmtId="14" fontId="4" fillId="0" borderId="1" xfId="0" applyNumberFormat="1" applyBorder="1" applyAlignment="1">
      <alignment vertical="top" wrapText="1"/>
    </xf>
    <xf numFmtId="18" fontId="4" fillId="0" borderId="1" xfId="0" applyNumberFormat="1" applyBorder="1" applyAlignment="1">
      <alignment vertical="top" wrapText="1"/>
    </xf>
    <xf numFmtId="0" fontId="59" fillId="0" borderId="1" xfId="0" applyFont="1" applyBorder="1" applyAlignment="1">
      <alignment vertical="top" wrapText="1"/>
    </xf>
    <xf numFmtId="14" fontId="4" fillId="0" borderId="1" xfId="0" applyNumberFormat="1" applyBorder="1" applyAlignment="1">
      <alignment vertical="top" wrapText="1"/>
    </xf>
    <xf numFmtId="18" fontId="4" fillId="0" borderId="1" xfId="0" applyNumberFormat="1" applyBorder="1" applyAlignment="1">
      <alignment vertical="top" wrapText="1"/>
    </xf>
    <xf numFmtId="0" fontId="60" fillId="0" borderId="0" xfId="0" applyFont="1" applyAlignment="1">
      <alignment vertical="bottom"/>
    </xf>
    <xf numFmtId="0" fontId="61" fillId="0" borderId="0" xfId="0" applyFont="1" applyAlignment="1">
      <alignment vertical="bottom"/>
    </xf>
    <xf numFmtId="0" fontId="62" fillId="33" borderId="3" xfId="0" applyFont="1" applyFill="1" applyBorder="1" applyAlignment="1">
      <alignment horizontal="center" vertical="bottom"/>
    </xf>
    <xf numFmtId="0" fontId="3" fillId="0" borderId="0" xfId="0" applyFont="1" applyAlignment="1">
      <alignment vertical="bottom"/>
    </xf>
    <xf numFmtId="164" fontId="61" fillId="0" borderId="0" xfId="0" applyNumberFormat="1" applyFont="1" applyAlignment="1">
      <alignment vertical="bottom"/>
    </xf>
    <xf numFmtId="0" fontId="57" fillId="0" borderId="0" xfId="0" applyFont="1" applyAlignment="1">
      <alignment vertical="bottom" wrapText="1"/>
    </xf>
    <xf numFmtId="0" fontId="63" fillId="7" borderId="0" xfId="0" applyFont="1" applyFill="1" applyAlignment="1">
      <alignment vertical="bottom"/>
    </xf>
    <xf numFmtId="0" fontId="64" fillId="20" borderId="0" xfId="0" applyFont="1" applyFill="1" applyAlignment="1">
      <alignment horizontal="center" vertical="bottom"/>
    </xf>
    <xf numFmtId="14" fontId="61" fillId="0" borderId="0" xfId="0" applyNumberFormat="1" applyFont="1" applyAlignment="1">
      <alignment vertical="bottom"/>
    </xf>
    <xf numFmtId="20" fontId="61" fillId="0" borderId="0" xfId="0" applyNumberFormat="1" applyFont="1" applyAlignment="1">
      <alignment vertical="bottom"/>
    </xf>
    <xf numFmtId="0" fontId="65" fillId="0" borderId="0" xfId="0"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0" fontId="66" fillId="0" borderId="0" xfId="0"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0" fontId="67" fillId="0" borderId="0" xfId="0"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0" fontId="68" fillId="0" borderId="0" xfId="0" applyFont="1" applyAlignment="1">
      <alignment vertical="bottom"/>
    </xf>
    <xf numFmtId="0" fontId="60" fillId="0" borderId="0" xfId="0" applyFont="1" applyAlignment="1">
      <alignment vertical="bottom" wrapText="1"/>
    </xf>
    <xf numFmtId="14" fontId="61" fillId="0" borderId="0" xfId="0" applyNumberFormat="1" applyFont="1" applyAlignment="1">
      <alignment vertical="bottom"/>
    </xf>
    <xf numFmtId="20" fontId="61" fillId="0" borderId="0" xfId="0" applyNumberFormat="1" applyFont="1" applyAlignment="1">
      <alignment vertical="bottom"/>
    </xf>
    <xf numFmtId="0" fontId="69" fillId="0" borderId="0" xfId="0"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0" fontId="9" fillId="0" borderId="0" xfId="0"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0" fontId="70" fillId="0" borderId="0" xfId="0"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0" fontId="71" fillId="0" borderId="0" xfId="0"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0" fontId="72" fillId="0" borderId="0" xfId="0"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0" fontId="73" fillId="0" borderId="0" xfId="0"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0" fontId="74" fillId="0" borderId="0" xfId="0"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0" fontId="75" fillId="0" borderId="0" xfId="0"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0" fontId="76" fillId="0" borderId="0" xfId="0"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xf numFmtId="14" fontId="61" fillId="0" borderId="0" xfId="0" applyNumberFormat="1" applyFont="1" applyAlignment="1">
      <alignment vertical="bottom"/>
    </xf>
    <xf numFmtId="20" fontId="61" fillId="0" borderId="0" xfId="0" applyNumberFormat="1" applyFont="1" applyAlignment="1">
      <alignment vertical="bottom"/>
    </xf>
  </cellXfs>
  <cellStyles count="2">
    <cellStyle name="常规" xfId="0" builtinId="0"/>
    <cellStyle name="Hyperlink" xfId="1"/>
  </cellStyles>
  <dxfs count="20">
    <dxf>
      <font>
        <b/>
        <color rgb="FF006100"/>
      </font>
      <fill>
        <patternFill>
          <bgColor rgb="FFC6EFCE"/>
        </patternFill>
      </fill>
    </dxf>
    <dxf>
      <font>
        <b/>
        <color rgb="FF006100"/>
      </font>
      <fill>
        <patternFill>
          <bgColor rgb="FFC6EFCE"/>
        </patternFill>
      </fill>
    </dxf>
    <dxf>
      <font>
        <b/>
      </font>
      <fill>
        <patternFill>
          <bgColor rgb="FFFFFF00"/>
        </patternFill>
      </fill>
    </dxf>
    <dxf>
      <font>
        <b/>
        <color rgb="FF006100"/>
      </font>
      <fill>
        <patternFill>
          <bgColor rgb="FFC6EFCE"/>
        </patternFill>
      </fill>
    </dxf>
    <dxf>
      <font>
        <b/>
        <color rgb="FF9C0006"/>
      </font>
      <fill>
        <patternFill>
          <bgColor rgb="FFFFC7CE"/>
        </patternFill>
      </fill>
    </dxf>
    <dxf>
      <font>
        <b/>
      </font>
      <fill>
        <patternFill>
          <bgColor rgb="FFFFFF00"/>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006100"/>
      </font>
      <fill>
        <patternFill>
          <bgColor rgb="FFC6EFCE"/>
        </patternFill>
      </fill>
    </dxf>
    <dxf>
      <font>
        <b/>
      </font>
      <fill>
        <patternFill>
          <bgColor rgb="FFFFFF00"/>
        </patternFill>
      </fill>
    </dxf>
    <dxf>
      <font>
        <b/>
      </font>
      <fill>
        <patternFill>
          <bgColor rgb="FFFFFF00"/>
        </patternFill>
      </fill>
    </dxf>
    <dxf>
      <font>
        <b/>
        <color rgb="FF006100"/>
      </font>
      <fill>
        <patternFill>
          <bgColor rgb="FFC6EFCE"/>
        </patternFill>
      </fill>
    </dxf>
    <dxf>
      <font>
        <b/>
        <color rgb="FF006100"/>
      </font>
      <fill>
        <patternFill>
          <bgColor rgb="FFC6EFCE"/>
        </patternFill>
      </fill>
    </dxf>
    <dxf>
      <font>
        <b/>
      </font>
      <fill>
        <patternFill>
          <bgColor rgb="FFFFFF00"/>
        </patternFill>
      </fill>
    </dxf>
    <dxf>
      <font>
        <b/>
        <color rgb="FF9C0006"/>
      </font>
      <fill>
        <patternFill>
          <bgColor rgb="FFFFC7CE"/>
        </patternFill>
      </fill>
    </dxf>
    <dxf>
      <font>
        <b/>
      </font>
      <fill>
        <patternFill>
          <bgColor rgb="FFFFFF00"/>
        </patternFill>
      </fill>
    </dxf>
    <dxf>
      <font>
        <b/>
      </font>
      <fill>
        <patternFill>
          <bgColor rgb="FFFFFF00"/>
        </patternFill>
      </fill>
    </dxf>
  </dxfs>
  <tableStyles defaultTableStyle="TableStyleMedium2" defaultPivotStyle="PivotStyleLight16" count="0"/>
  <colors>
    <indexedColors>
      <rgbColor rgb="00000000"/>
      <rgbColor rgb="00FFFFFF"/>
      <rgbColor rgb="00FF0000"/>
      <rgbColor rgb="0000FF00"/>
      <rgbColor rgb="000000FF"/>
      <rgbColor rgb="00FFFF00"/>
      <rgbColor rgb="00FF00FF"/>
      <rgbColor rgb="0000FFFF"/>
      <rgbColor rgb="009C0006"/>
      <rgbColor rgb="00006100"/>
      <rgbColor rgb="00000080"/>
      <rgbColor rgb="00F2545B"/>
      <rgbColor rgb="00800080"/>
      <rgbColor rgb="0031859C"/>
      <rgbColor rgb="00BFBFBF"/>
      <rgbColor rgb="007F7F7F"/>
      <rgbColor rgb="00DDD9C3"/>
      <rgbColor rgb="00C0504D"/>
      <rgbColor rgb="00EBF1DE"/>
      <rgbColor rgb="00DBEEF4"/>
      <rgbColor rgb="00660066"/>
      <rgbColor rgb="00FF8F59"/>
      <rgbColor rgb="001155CC"/>
      <rgbColor rgb="00C6D9F1"/>
      <rgbColor rgb="00000080"/>
      <rgbColor rgb="00FF00FF"/>
      <rgbColor rgb="00EEECE1"/>
      <rgbColor rgb="00F2DCDB"/>
      <rgbColor rgb="00800080"/>
      <rgbColor rgb="00800000"/>
      <rgbColor rgb="00376092"/>
      <rgbColor rgb="000000FF"/>
      <rgbColor rgb="0000B0F0"/>
      <rgbColor rgb="00DCE6F2"/>
      <rgbColor rgb="00C6EFCE"/>
      <rgbColor rgb="00FFEB9C"/>
      <rgbColor rgb="00B9D2D4"/>
      <rgbColor rgb="00FFC7CE"/>
      <rgbColor rgb="00D9D9D9"/>
      <rgbColor rgb="00FCD5B5"/>
      <rgbColor rgb="004F81BD"/>
      <rgbColor rgb="00E6E0EC"/>
      <rgbColor rgb="0092D050"/>
      <rgbColor rgb="00FBBC04"/>
      <rgbColor rgb="00FF9900"/>
      <rgbColor rgb="00E46C0A"/>
      <rgbColor rgb="006A78D1"/>
      <rgbColor rgb="00878787"/>
      <rgbColor rgb="00003366"/>
      <rgbColor rgb="002A7E7E"/>
      <rgbColor rgb="00003300"/>
      <rgbColor rgb="00333300"/>
      <rgbColor rgb="009C5700"/>
      <rgbColor rgb="00604A7B"/>
      <rgbColor rgb="001F497D"/>
      <rgbColor rgb="002D3E50"/>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externalLink" Target="externalLinks/externalLink1.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www.wps.cn/officeDocument/2020/cellImage" Target="cellimages.xml"/><Relationship Id="rId13" Type="http://schemas.openxmlformats.org/officeDocument/2006/relationships/sharedStrings" Target="sharedStrings.xml"/><Relationship Id="rId14" Type="http://schemas.openxmlformats.org/officeDocument/2006/relationships/styles" Target="styles.xml"/><Relationship Id="rId15"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Completion % by Website</a:t>
            </a:r>
          </a:p>
        </c:rich>
      </c:tx>
      <c:overlay val="0"/>
      <c:spPr>
        <a:noFill/>
        <a:ln w="0">
          <a:noFill/>
        </a:ln>
      </c:spPr>
    </c:title>
    <c:autoTitleDeleted val="0"/>
    <c:plotArea>
      <c:layout/>
      <c:barChart>
        <c:barDir val="col"/>
        <c:grouping val="clustered"/>
        <c:varyColors val="0"/>
        <c:ser>
          <c:idx val="0"/>
          <c:order val="0"/>
          <c:tx>
            <c:strRef>
              <c:f>Dashboard!$G$4</c:f>
              <c:strCache>
                <c:ptCount val="1"/>
                <c:pt idx="0">
                  <c:v>Completion %</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Dashboard!$B$5:$B$7</c:f>
              <c:strCache>
                <c:ptCount val="3"/>
                <c:pt idx="0">
                  <c:v>Website 1</c:v>
                </c:pt>
                <c:pt idx="1">
                  <c:v>Website 2</c:v>
                </c:pt>
                <c:pt idx="2">
                  <c:v>Website 3</c:v>
                </c:pt>
              </c:strCache>
            </c:strRef>
          </c:cat>
          <c:val>
            <c:numRef>
              <c:f>Dashboard!$G$5:$G$7</c:f>
              <c:numCache>
                <c:formatCode>0%</c:formatCode>
                <c:ptCount val="3"/>
                <c:pt idx="0">
                  <c:v>0.526315789473684</c:v>
                </c:pt>
                <c:pt idx="1">
                  <c:v>0.526315789473684</c:v>
                </c:pt>
                <c:pt idx="2">
                  <c:v>0.473684210526316</c:v>
                </c:pt>
              </c:numCache>
            </c:numRef>
          </c:val>
        </c:ser>
        <c:dLbls>
          <c:showLegendKey val="0"/>
          <c:showVal val="0"/>
          <c:showCatName val="0"/>
          <c:showSerName val="0"/>
          <c:showPercent val="0"/>
          <c:showBubbleSize val="0"/>
        </c:dLbls>
        <c:gapWidth val="150"/>
        <c:axId val="98433478"/>
        <c:axId val="29497587"/>
      </c:barChart>
      <c:catAx>
        <c:axId val="98433478"/>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9497587"/>
        <c:crosses val="autoZero"/>
        <c:auto val="1"/>
        <c:lblAlgn val="ctr"/>
        <c:lblOffset val="100"/>
        <c:noMultiLvlLbl val="0"/>
      </c:catAx>
      <c:valAx>
        <c:axId val="2949758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843347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2.xml><?xml version="1.0" encoding="utf-8"?>
<xdr:wsDr xmlns:xdr="http://schemas.openxmlformats.org/drawingml/2006/spreadsheetDrawing" xmlns:a="http://schemas.openxmlformats.org/drawingml/2006/main">
  <xdr:twoCellAnchor>
    <xdr:from>
      <xdr:col>1</xdr:col>
      <xdr:colOff>0</xdr:colOff>
      <xdr:row>10</xdr:row>
      <xdr:rowOff>0</xdr:rowOff>
    </xdr:from>
    <xdr:to>
      <xdr:col>5</xdr:col>
      <xdr:colOff>519037</xdr:colOff>
      <xdr:row>23</xdr:row>
      <xdr:rowOff>0</xdr:rowOff>
    </xdr:to>
    <xdr:graphicFrame macro="">
      <xdr:nvGraphicFramePr>
        <xdr:cNvPr name="图表 1" id="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s/abeltis/Downloads/SocialBulk_03_18_2019_hubId_259079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ccounts"/>
      <sheetName val="Campaigns"/>
    </sheetNames>
    <sheetDataSet>
      <sheetData sheetId="0"/>
      <sheetData sheetId="1"/>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hyperlink" Target="mailto:support@boat-lifestyle.com" TargetMode="External"/><Relationship Id="rId2" Type="http://schemas.openxmlformats.org/officeDocument/2006/relationships/hyperlink" Target="https://www.boat-lifestyle.com/" TargetMode="External"/><Relationship Id="rId3" Type="http://schemas.openxmlformats.org/officeDocument/2006/relationships/hyperlink" Target="https://x.com/RockWithboAt" TargetMode="External"/><Relationship Id="rId4" Type="http://schemas.openxmlformats.org/officeDocument/2006/relationships/hyperlink" Target="https://linkedin.com/company/boat-lifestyle" TargetMode="External"/><Relationship Id="rId5" Type="http://schemas.openxmlformats.org/officeDocument/2006/relationships/hyperlink" Target="https://m.facebook.com/boat.lifestyle/" TargetMode="External"/><Relationship Id="rId6" Type="http://schemas.openxmlformats.org/officeDocument/2006/relationships/hyperlink" Target="https://www.instagram.com/boat.nirvana/" TargetMode="External"/><Relationship Id="rId7" Type="http://schemas.openxmlformats.org/officeDocument/2006/relationships/hyperlink" Target="https://youtube.com/@boat-lifestyle?si=tg5WT2eVHwtmGCpk" TargetMode="External"/><Relationship Id="rId8" Type="http://schemas.openxmlformats.org/officeDocument/2006/relationships/hyperlink" Target="https://youtube.com/@boat-lifestyle?si=tg5WT2eVHwtmGCp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mailto:support@goniose.com" TargetMode="External"/><Relationship Id="rId2" Type="http://schemas.openxmlformats.org/officeDocument/2006/relationships/hyperlink" Target="https://www.gonoise.com" TargetMode="External"/><Relationship Id="rId3" Type="http://schemas.openxmlformats.org/officeDocument/2006/relationships/hyperlink" Target="https://facebook.com/Gonoise" TargetMode="External"/><Relationship Id="rId4" Type="http://schemas.openxmlformats.org/officeDocument/2006/relationships/hyperlink" Target="https://x.com/gonoise" TargetMode="External"/><Relationship Id="rId5" Type="http://schemas.openxmlformats.org/officeDocument/2006/relationships/hyperlink" Target="https://linkedin.com/company/gonoise-com" TargetMode="External"/><Relationship Id="rId6" Type="http://schemas.openxmlformats.org/officeDocument/2006/relationships/hyperlink" Target="https://youtube.com/@gonoise_official?si=eGW94LEYULxlsRha" TargetMode="External"/><Relationship Id="rId7" Type="http://schemas.openxmlformats.org/officeDocument/2006/relationships/hyperlink" Target="https://www.instagram.com/go_nois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mailto:support@boultaudio.com" TargetMode="External"/><Relationship Id="rId2" Type="http://schemas.openxmlformats.org/officeDocument/2006/relationships/hyperlink" Target="https://www.boultaudio.com" TargetMode="External"/><Relationship Id="rId3" Type="http://schemas.openxmlformats.org/officeDocument/2006/relationships/hyperlink" Target="https://x.com/boultaudio" TargetMode="External"/><Relationship Id="rId4" Type="http://schemas.openxmlformats.org/officeDocument/2006/relationships/hyperlink" Target="https://linkedin.com/company/boultaudio" TargetMode="External"/><Relationship Id="rId5" Type="http://schemas.openxmlformats.org/officeDocument/2006/relationships/hyperlink" Target="https://youtube.com/@goboult?si=XFATJhbfacYrvr_6" TargetMode="External"/><Relationship Id="rId6" Type="http://schemas.openxmlformats.org/officeDocument/2006/relationships/hyperlink" Target="https://www.instagram.com/goboult_official/" TargetMode="External"/><Relationship Id="rId7" Type="http://schemas.openxmlformats.org/officeDocument/2006/relationships/hyperlink" Target="https://www.facebook.com/GOBOUL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prepbytes.com/" TargetMode="External"/><Relationship Id="rId2" Type="http://schemas.openxmlformats.org/officeDocument/2006/relationships/hyperlink" Target="https://internshala.com/" TargetMode="External"/><Relationship Id="rId3" Type="http://schemas.openxmlformats.org/officeDocument/2006/relationships/hyperlink" Target="https://unstop.com" TargetMode="External"/><Relationship Id="rId4" Type="http://schemas.openxmlformats.org/officeDocument/2006/relationships/hyperlink" Target="https://www.scaler.com/" TargetMode="External"/><Relationship Id="rId5" Type="http://schemas.openxmlformats.org/officeDocument/2006/relationships/hyperlink" Target="https://www.eventbeep.com/en" TargetMode="External"/><Relationship Id="rId6" Type="http://schemas.openxmlformats.org/officeDocument/2006/relationships/hyperlink" Target="https://www.simplilearn.com/" TargetMode="External"/><Relationship Id="rId7" Type="http://schemas.openxmlformats.org/officeDocument/2006/relationships/hyperlink" Target="https://www.codingblocks.com/" TargetMode="External"/><Relationship Id="rId8" Type="http://schemas.openxmlformats.org/officeDocument/2006/relationships/hyperlink" Target="https://www.upgrad.com/" TargetMode="External"/><Relationship Id="rId9" Type="http://schemas.openxmlformats.org/officeDocument/2006/relationships/hyperlink" Target="https://www.mygreatlearning.com/" TargetMode="External"/><Relationship Id="rId10" Type="http://schemas.openxmlformats.org/officeDocument/2006/relationships/hyperlink" Target="https://www.codingninjas.com/" TargetMode="External"/><Relationship Id="rId11" Type="http://schemas.openxmlformats.org/officeDocument/2006/relationships/hyperlink" Target="https://www.instagram.com/prepbytes" TargetMode="External"/><Relationship Id="rId12" Type="http://schemas.openxmlformats.org/officeDocument/2006/relationships/hyperlink" Target="https://www.instagram.com/internshala" TargetMode="External"/><Relationship Id="rId13" Type="http://schemas.openxmlformats.org/officeDocument/2006/relationships/hyperlink" Target="https://www.instagram.com/beepappofficial" TargetMode="External"/><Relationship Id="rId14" Type="http://schemas.openxmlformats.org/officeDocument/2006/relationships/hyperlink" Target="https://www.instagram.com/unstop.world" TargetMode="External"/><Relationship Id="rId15" Type="http://schemas.openxmlformats.org/officeDocument/2006/relationships/hyperlink" Target="https://www.instagram.com/scaler_official" TargetMode="External"/><Relationship Id="rId16" Type="http://schemas.openxmlformats.org/officeDocument/2006/relationships/hyperlink" Target="https://www.instagram.com/simplilearn_official" TargetMode="External"/><Relationship Id="rId17" Type="http://schemas.openxmlformats.org/officeDocument/2006/relationships/hyperlink" Target="https://www.instagram.com/upgrad_edu" TargetMode="External"/><Relationship Id="rId18" Type="http://schemas.openxmlformats.org/officeDocument/2006/relationships/hyperlink" Target="https://www.instagram.com/codingblocks" TargetMode="External"/><Relationship Id="rId19" Type="http://schemas.openxmlformats.org/officeDocument/2006/relationships/hyperlink" Target="https://www.instagram.com/coding.ninjas" TargetMode="External"/><Relationship Id="rId20" Type="http://schemas.openxmlformats.org/officeDocument/2006/relationships/hyperlink" Target="https://www.instagram.com/greatlearningofficial" TargetMode="External"/><Relationship Id="rId21" Type="http://schemas.openxmlformats.org/officeDocument/2006/relationships/hyperlink" Target="https://www.linkedin.com/school/codingninjas/" TargetMode="External"/><Relationship Id="rId22" Type="http://schemas.openxmlformats.org/officeDocument/2006/relationships/hyperlink" Target="https://www.linkedin.com/company/simplilearn/" TargetMode="External"/><Relationship Id="rId23" Type="http://schemas.openxmlformats.org/officeDocument/2006/relationships/hyperlink" Target="https://www.linkedin.com/school/codingblocksindia/" TargetMode="External"/><Relationship Id="rId24" Type="http://schemas.openxmlformats.org/officeDocument/2006/relationships/hyperlink" Target="https://www.linkedin.com/company/internshala/" TargetMode="External"/><Relationship Id="rId25" Type="http://schemas.openxmlformats.org/officeDocument/2006/relationships/hyperlink" Target="https://www.linkedin.com/school/scalerofficial/" TargetMode="External"/><Relationship Id="rId26" Type="http://schemas.openxmlformats.org/officeDocument/2006/relationships/hyperlink" Target="https://www.linkedin.com/school/great-learning/" TargetMode="External"/><Relationship Id="rId27" Type="http://schemas.openxmlformats.org/officeDocument/2006/relationships/hyperlink" Target="https://www.linkedin.com/company/ueducation/" TargetMode="External"/><Relationship Id="rId28" Type="http://schemas.openxmlformats.org/officeDocument/2006/relationships/hyperlink" Target="https://www.linkedin.com/company/beepappofficial/" TargetMode="External"/><Relationship Id="rId29" Type="http://schemas.openxmlformats.org/officeDocument/2006/relationships/hyperlink" Target="https://www.linkedin.com/company/unstop/" TargetMode="External"/><Relationship Id="rId30" Type="http://schemas.openxmlformats.org/officeDocument/2006/relationships/hyperlink" Target="https://www.linkedin.com/company/prepbytes/" TargetMode="External"/><Relationship Id="rId31" Type="http://schemas.openxmlformats.org/officeDocument/2006/relationships/hyperlink" Target="https://x.com/prepbytes0211" TargetMode="External"/><Relationship Id="rId32" Type="http://schemas.openxmlformats.org/officeDocument/2006/relationships/hyperlink" Target="https://x.com/simplilearn" TargetMode="External"/><Relationship Id="rId33" Type="http://schemas.openxmlformats.org/officeDocument/2006/relationships/hyperlink" Target="https://x.com/upGrad_edu" TargetMode="External"/><Relationship Id="rId34" Type="http://schemas.openxmlformats.org/officeDocument/2006/relationships/hyperlink" Target="https://x.com/CodingNinjasOff" TargetMode="External"/><Relationship Id="rId35" Type="http://schemas.openxmlformats.org/officeDocument/2006/relationships/hyperlink" Target="https://x.com/CodingBlocksIn" TargetMode="External"/><Relationship Id="rId36" Type="http://schemas.openxmlformats.org/officeDocument/2006/relationships/hyperlink" Target="https://x.com/Great_Learning" TargetMode="External"/><Relationship Id="rId37" Type="http://schemas.openxmlformats.org/officeDocument/2006/relationships/hyperlink" Target="https://x.com/event_beep" TargetMode="External"/><Relationship Id="rId38" Type="http://schemas.openxmlformats.org/officeDocument/2006/relationships/hyperlink" Target="https://x.com/Unstop_World" TargetMode="External"/><Relationship Id="rId39" Type="http://schemas.openxmlformats.org/officeDocument/2006/relationships/hyperlink" Target="https://x.com/Internshala" TargetMode="External"/><Relationship Id="rId40" Type="http://schemas.openxmlformats.org/officeDocument/2006/relationships/hyperlink" Target="https://x.com/scaler_official" TargetMode="External"/><Relationship Id="rId41" Type="http://schemas.openxmlformats.org/officeDocument/2006/relationships/hyperlink" Target="https://www.facebook.com/GreatLearningOfficial/" TargetMode="External"/><Relationship Id="rId42" Type="http://schemas.openxmlformats.org/officeDocument/2006/relationships/hyperlink" Target="https://www.facebook.com/codingblocksindia/" TargetMode="External"/><Relationship Id="rId43" Type="http://schemas.openxmlformats.org/officeDocument/2006/relationships/hyperlink" Target="https://www.facebook.com/Internshala/" TargetMode="External"/><Relationship Id="rId44" Type="http://schemas.openxmlformats.org/officeDocument/2006/relationships/hyperlink" Target="https://www.facebook.com/prepbytes0211/" TargetMode="External"/><Relationship Id="rId45" Type="http://schemas.openxmlformats.org/officeDocument/2006/relationships/hyperlink" Target="https://www.facebook.com/EventBeep/" TargetMode="External"/><Relationship Id="rId46" Type="http://schemas.openxmlformats.org/officeDocument/2006/relationships/hyperlink" Target="https://www.facebook.com/SimplilearnIndia/" TargetMode="External"/><Relationship Id="rId47" Type="http://schemas.openxmlformats.org/officeDocument/2006/relationships/hyperlink" Target="https://www.facebook.com/upGradGlobal/" TargetMode="External"/><Relationship Id="rId48" Type="http://schemas.openxmlformats.org/officeDocument/2006/relationships/hyperlink" Target="https://www.facebook.com/Unstop.World/" TargetMode="External"/><Relationship Id="rId49" Type="http://schemas.openxmlformats.org/officeDocument/2006/relationships/hyperlink" Target="https://www.facebook.com/codingninjas/" TargetMode="External"/><Relationship Id="rId50" Type="http://schemas.openxmlformats.org/officeDocument/2006/relationships/hyperlink" Target="https://www.facebook.com/scalerofficia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blog.hootsuite.com/linkedin-hashtags-guide/" TargetMode="External"/><Relationship Id="rId2" Type="http://schemas.openxmlformats.org/officeDocument/2006/relationships/hyperlink" Target="https://www.canva.com/design/XXXXX"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linkedin.com/posts/ineubytes_datascientist-datasciencetraining-machinelearning-activity-7072525201032282112-HY1y?utm_source=share&amp;utm_medium=member_desktop" TargetMode="External"/><Relationship Id="rId2" Type="http://schemas.openxmlformats.org/officeDocument/2006/relationships/hyperlink" Target="https://www.linkedin.com/posts/mohit-sukhija_ineubytes-ineubytes-brandvisibility-activity-7481693819051130880-KdKQ?utm_source=social_share_send&amp;utm_medium=android_app&amp;rcm=ACoAAGaFDK0BbyG1T-wOG0OIQPBDmmlKf9CNHpM&amp;utm_campaign=copy_link" TargetMode="External"/><Relationship Id="rId3" Type="http://schemas.openxmlformats.org/officeDocument/2006/relationships/hyperlink" Target="https://www.linkedin.com/posts/mohit-sukhija_ineubytes-ineubytes-contentcreator-activity-7481739080507187201-7sXn?utm_source=social_share_send&amp;utm_medium=android_app&amp;rcm=ACoAAGaFDK0BbyG1T-wOG0OIQPBDmmlKf9CNHpM&amp;utm_campaign=copy_link" TargetMode="External"/><Relationship Id="rId4" Type="http://schemas.openxmlformats.org/officeDocument/2006/relationships/hyperlink" Target="https://www.linkedin.com/posts/mohit-sukhija_ineubytes-onlineinternship-ineubytesintership-activity-7482063727001878528-BoLi?utm_source=social_share_send&amp;utm_medium=android_app&amp;rcm=ACoAAGaFDK0BbyG1T-wOG0OIQPBDmmlKf9CNHpM&amp;utm_campaign=copy_link" TargetMode="External"/><Relationship Id="rId5" Type="http://schemas.openxmlformats.org/officeDocument/2006/relationships/hyperlink" Target="https://www.linkedin.com/posts/mohit-sukhija_ineubytes-internship-certificates-activity-7482101470532923392-Ht3u?utm_source=social_share_send&amp;utm_medium=android_app&amp;rcm=ACoAAGaFDK0BbyG1T-wOG0OIQPBDmmlKf9CNHpM&amp;utm_campaign=copy_link" TargetMode="External"/><Relationship Id="rId6" Type="http://schemas.openxmlformats.org/officeDocument/2006/relationships/hyperlink" Target="https://www.linkedin.com/posts/mohit-sukhija_ineubytes-ineubytesinternship-onlineinternship-activity-7482426149864841216-xmLC?utm_source=social_share_send&amp;utm_medium=android_app&amp;rcm=ACoAAGaFDK0BbyG1T-wOG0OIQPBDmmlKf9CNHpM&amp;utm_campaign=copy_link" TargetMode="External"/><Relationship Id="rId7" Type="http://schemas.openxmlformats.org/officeDocument/2006/relationships/hyperlink" Target="https://www.linkedin.com/posts/mohit-sukhija_ineubytes-onlineinternship-ineubytesinternship-activity-7482463901285130240-AOnc?utm_source=social_share_send&amp;utm_medium=android_app&amp;rcm=ACoAAGaFDK0BbyG1T-wOG0OIQPBDmmlKf9CNHpM&amp;utm_campaign=copy_link" TargetMode="External"/><Relationship Id="rId8" Type="http://schemas.openxmlformats.org/officeDocument/2006/relationships/hyperlink" Target="https://www.linkedin.com/posts/mohit-sukhija_ineubytes-ineubytesintership-onlineinternship-activity-7482701443544600576-tFCQ?utm_source=social_share_send&amp;utm_medium=android_app&amp;rcm=ACoAAGaFDK0BbyG1T-wOG0OIQPBDmmlKf9CNHpM&amp;utm_campaign=copy_link" TargetMode="External"/><Relationship Id="rId9" Type="http://schemas.openxmlformats.org/officeDocument/2006/relationships/hyperlink" Target="https://www.linkedin.com/posts/mohit-sukhija_ineubytes-ineubytesinternship-onlineinternship-activity-7482826340757426176-a1s_?utm_source=social_share_send&amp;utm_medium=android_app&amp;rcm=ACoAAGaFDK0BbyG1T-wOG0OIQPBDmmlKf9CNHpM&amp;utm_campaign=copy_link" TargetMode="External"/><Relationship Id="rId10" Type="http://schemas.openxmlformats.org/officeDocument/2006/relationships/hyperlink" Target="https://www.linkedin.com/posts/mohit-sukhija_ineubytes-ineubytesinternship-onlineinternship-activity-7483158475489951744-hxPh?utm_source=social_share_send&amp;utm_medium=android_app&amp;rcm=ACoAAGaFDK0BbyG1T-wOG0OIQPBDmmlKf9CNHpM&amp;utm_campaign=copy_link" TargetMode="External"/><Relationship Id="rId11" Type="http://schemas.openxmlformats.org/officeDocument/2006/relationships/hyperlink" Target="https://www.linkedin.com/posts/mohit-sukhija_ineubytes-onlineintership-virtualinternship-activity-7483181097917366272-8ZcP?utm_source=social_share_send&amp;utm_medium=android_app&amp;rcm=ACoAAGaFDK0BbyG1T-wOG0OIQPBDmmlKf9CNHpM&amp;utm_campaign=copy_link" TargetMode="External"/><Relationship Id="rId12" Type="http://schemas.openxmlformats.org/officeDocument/2006/relationships/hyperlink" Target="https://www.linkedin.com/posts/mohit-sukhija_ineubytes-google-chrome-activity-7483513326409248769-BkIx?utm_source=social_share_send&amp;utm_medium=android_app&amp;rcm=ACoAAGaFDK0BbyG1T-wOG0OIQPBDmmlKf9CNHpM&amp;utm_campaign=copy_link" TargetMode="External"/><Relationship Id="rId13" Type="http://schemas.openxmlformats.org/officeDocument/2006/relationships/hyperlink" Target="https://www.linkedin.com/posts/mohit-sukhija_amazon-flipkart-business-activity-7483543490501431296-9i1a?utm_source=social_share_send&amp;utm_medium=android_app&amp;rcm=ACoAAGaFDK0BbyG1T-wOG0OIQPBDmmlKf9CNHpM&amp;utm_campaign=copy_link" TargetMode="External"/><Relationship Id="rId14" Type="http://schemas.openxmlformats.org/officeDocument/2006/relationships/hyperlink" Target="https://www.linkedin.com/posts/mohit-sukhija_artificialintelligence-chatgpt-claude-activity-7483868110924472320-UOCM?utm_source=social_share_send&amp;utm_medium=android_app&amp;rcm=ACoAAGaFDK0BbyG1T-wOG0OIQPBDmmlKf9CNHpM&amp;utm_campaign=copy_link" TargetMode="External"/><Relationship Id="rId15" Type="http://schemas.openxmlformats.org/officeDocument/2006/relationships/hyperlink" Target="https://www.linkedin.com/posts/mohit-sukhija_aws-amazon-jeffbezos-activity-7483732269828943872-x3o4?utm_source=social_share_send&amp;utm_medium=android_app&amp;rcm=ACoAAGaFDK0BbyG1T-wOG0OIQPBDmmlKf9CNHpM&amp;utm_campaign=copy_link" TargetMode="External"/><Relationship Id="rId16" Type="http://schemas.openxmlformats.org/officeDocument/2006/relationships/hyperlink" Target="https://www.linkedin.com/posts/mohit-sukhija_ineubytes-ineubytesinternship-onlineinternship-activity-7483188783400529920-JkDY?utm_source=social_share_send&amp;utm_medium=android_app&amp;rcm=ACoAAGaFDK0BbyG1T-wOG0OIQPBDmmlKf9CNHpM&amp;utm_campaign=copy_link" TargetMode="External"/><Relationship Id="rId17" Type="http://schemas.openxmlformats.org/officeDocument/2006/relationships/hyperlink" Target="https://www.linkedin.com/posts/mohit-sukhija_ineubytes-samsung-tech-activity-7483890785461956608-0Q-s?utm_source=social_share_send&amp;utm_medium=android_app&amp;rcm=ACoAAGaFDK0BbyG1T-wOG0OIQPBDmmlKf9CNHpM&amp;utm_campaign=copy_link" TargetMode="External"/><Relationship Id="rId18" Type="http://schemas.openxmlformats.org/officeDocument/2006/relationships/hyperlink" Target="https://www.linkedin.com/posts/mohit-sukhija_samsung-info-adapting-activity-7484260699012014080-FEZV?utm_source=social_share_send&amp;utm_medium=android_app&amp;rcm=ACoAAGaFDK0BbyG1T-wOG0OIQPBDmmlKf9CNHpM&amp;utm_campaign=copy_link" TargetMode="External"/><Relationship Id="rId19" Type="http://schemas.openxmlformats.org/officeDocument/2006/relationships/hyperlink" Target="https://www.linkedin.com/posts/mohit-sukhija_ineubytes-internship-onlineinternship-activity-7484275805519237120-N6lH?utm_source=social_share_send&amp;utm_medium=android_app&amp;rcm=ACoAAGaFDK0BbyG1T-wOG0OIQPBDmmlKf9CNHpM&amp;utm_campaign=copy_link" TargetMode="External"/><Relationship Id="rId20" Type="http://schemas.openxmlformats.org/officeDocument/2006/relationships/hyperlink" Target="https://www.linkedin.com/posts/mohit-sukhija_ineubytes-digital-marketing-activity-7484600532821532672-p2gV?utm_source=social_share_send&amp;utm_medium=android_app&amp;rcm=ACoAAGaFDK0BbyG1T-wOG0OIQPBDmmlKf9CNHpM&amp;utm_campaign=copy_link" TargetMode="External"/><Relationship Id="rId21" Type="http://schemas.openxmlformats.org/officeDocument/2006/relationships/hyperlink" Target="https://www.linkedin.com/posts/mohit-sukhija_ineubytes-digital-marketing-activity-7484615552284626945-5OG9?utm_source=social_share_send&amp;utm_medium=android_app&amp;rcm=ACoAAGaFDK0BbyG1T-wOG0OIQPBDmmlKf9CNHpM&amp;utm_campaign=copy_link" TargetMode="External"/><Relationship Id="rId22" Type="http://schemas.openxmlformats.org/officeDocument/2006/relationships/hyperlink" Target="https://www.linkedin.com/posts/mohit-sukhija_ineubytes-ineubytesinternship-digitalmarketing-activity-7484630637073821696-HnuO?utm_source=social_share_send&amp;utm_medium=android_app&amp;rcm=ACoAAGaFDK0BbyG1T-wOG0OIQPBDmmlKf9CNHpM&amp;utm_campaign=copy_link" TargetMode="External"/><Relationship Id="rId23" Type="http://schemas.openxmlformats.org/officeDocument/2006/relationships/hyperlink" Target="https://www.linkedin.com/posts/mohit-sukhija_growth-ineubytes-digital-activity-7484947748446932995-ljf5?utm_source=social_share_send&amp;utm_medium=android_app&amp;rcm=ACoAAGaFDK0BbyG1T-wOG0OIQPBDmmlKf9CNHpM&amp;utm_campaign=copy_link" TargetMode="External"/><Relationship Id="rId24" Type="http://schemas.openxmlformats.org/officeDocument/2006/relationships/hyperlink" Target="https://www.linkedin.com/posts/mohit-sukhija_ineubytes-techhistory-branding-activity-7484981706270285824-nsDw?utm_source=social_share_send&amp;utm_medium=android_app&amp;rcm=ACoAAGaFDK0BbyG1T-wOG0OIQPBDmmlKf9CNHpM&amp;utm_campaign=copy_link" TargetMode="External"/><Relationship Id="rId25" Type="http://schemas.openxmlformats.org/officeDocument/2006/relationships/hyperlink" Target="https://www.linkedin.com/posts/mohit-sukhija_casestudy-leadership-personalbranding-activity-7485302630311673856-jLz_?utm_source=social_share_send&amp;utm_medium=android_app&amp;rcm=ACoAAGaFDK0BbyG1T-wOG0OIQPBDmmlKf9CNHpM&amp;utm_campaign=copy_link" TargetMode="External"/><Relationship Id="rId26" Type="http://schemas.openxmlformats.org/officeDocument/2006/relationships/hyperlink" Target="https://www.linkedin.com/posts/mohit-sukhija_ineubytes-onlineinternship-digitalmarketing-activity-7485317770029699075-ecZv?utm_source=social_share_send&amp;utm_medium=android_app&amp;rcm=ACoAAGaFDK0BbyG1T-wOG0OIQPBDmmlKf9CNHpM&amp;utm_campaign=copy_link" TargetMode="External"/><Relationship Id="rId27" Type="http://schemas.openxmlformats.org/officeDocument/2006/relationships/hyperlink" Target="https://www.linkedin.com/posts/mohit-sukhija_ineubytes-ineubytesinternship-digitalmarketing-activity-7485332849122758656-KcTO?utm_source=social_share_send&amp;utm_medium=android_app&amp;rcm=ACoAAGaFDK0BbyG1T-wOG0OIQPBDmmlKf9CNHpM&amp;utm_campaign=copy_link" TargetMode="External"/><Relationship Id="rId28" Type="http://schemas.openxmlformats.org/officeDocument/2006/relationships/hyperlink" Target="https://www.linkedin.com/posts/mohit-sukhija_ineubytes-ineubytesinternship-seo-activity-7485664974061858816-V4Ah?utm_source=social_share_send&amp;utm_medium=android_app&amp;rcm=ACoAAGaFDK0BbyG1T-wOG0OIQPBDmmlKf9CNHpM&amp;utm_campaign=copy_link" TargetMode="External"/><Relationship Id="rId29" Type="http://schemas.openxmlformats.org/officeDocument/2006/relationships/hyperlink" Target="https://www.linkedin.com/posts/mohit-sukhija_ineubytes-virtualinternship-internshipjourney-activity-7485748015408914432-2Mfq?utm_source=social_share_send&amp;utm_medium=android_app&amp;rcm=ACoAAGaFDK0BbyG1T-wOG0OIQPBDmmlKf9CNHpM&amp;utm_campaign=copy_link" TargetMode="External"/><Relationship Id="rId30" Type="http://schemas.openxmlformats.org/officeDocument/2006/relationships/hyperlink" Target="https://www.linkedin.com/posts/mohit-sukhija_internship-contentcreation-digitalmarketing-activity-7485883898367971328-fDOk?utm_source=social_share_send&amp;utm_medium=android_app&amp;rcm=ACoAAGaFDK0BbyG1T-wOG0OIQPBDmmlKf9CNHpM&amp;utm_campaign=copy_link" TargetMode="External"/><Relationship Id="rId31" Type="http://schemas.openxmlformats.org/officeDocument/2006/relationships/hyperlink" Target="https://www.linkedin.com/posts/mohit-sukhija_internship-ineubytes-digitalmarketing-activity-7485914097075748865-bz2g?utm_source=social_share_send&amp;utm_medium=android_app&amp;rcm=ACoAAGaFDK0BbyG1T-wOG0OIQPBDmmlKf9CNHpM&amp;utm_campaign=copy_link" TargetMode="External"/></Relationships>
</file>

<file path=xl/worksheets/sheet1.xml><?xml version="1.0" encoding="utf-8"?>
<worksheet xmlns:r="http://schemas.openxmlformats.org/officeDocument/2006/relationships" xmlns="http://schemas.openxmlformats.org/spreadsheetml/2006/main">
  <dimension ref="A1:EH1"/>
  <sheetViews>
    <sheetView workbookViewId="0">
      <selection activeCell="A1" sqref="A1"/>
    </sheetView>
  </sheetViews>
  <sheetFormatPr defaultRowHeight="12.5" defaultColWidth="10"/>
  <sheetData/>
  <pageMargins left="0.7" right="0.7" top="0.75" bottom="0.75" header="0.511811023622047" footer="0.511811023622047"/>
</worksheet>
</file>

<file path=xl/worksheets/sheet2.xml><?xml version="1.0" encoding="utf-8"?>
<worksheet xmlns:r="http://schemas.openxmlformats.org/officeDocument/2006/relationships" xmlns="http://schemas.openxmlformats.org/spreadsheetml/2006/main">
  <dimension ref="B1:EN27"/>
  <sheetViews>
    <sheetView workbookViewId="0" topLeftCell="B1" showGridLines="0" zoomScale="52">
      <selection activeCell="F40" sqref="F40"/>
    </sheetView>
  </sheetViews>
  <sheetFormatPr defaultRowHeight="12.5" defaultColWidth="10"/>
  <cols>
    <col min="1" max="1" customWidth="1" width="4.0" style="0"/>
    <col min="2" max="2" customWidth="1" width="22.0" style="0"/>
    <col min="3" max="5" customWidth="1" width="14.0" style="0"/>
    <col min="6" max="6" customWidth="1" width="16.0" style="0"/>
    <col min="7" max="7" customWidth="1" width="14.0" style="0"/>
  </cols>
  <sheetData>
    <row r="2" spans="8:8" ht="27.75" customHeight="1">
      <c r="B2" s="1" t="s">
        <v>0</v>
      </c>
      <c r="C2" s="1"/>
      <c r="D2" s="1"/>
      <c r="E2" s="1"/>
      <c r="F2" s="1"/>
      <c r="G2" s="1"/>
    </row>
    <row r="4" spans="8:8" ht="30.0" customHeight="1">
      <c r="B4" s="2" t="s">
        <v>1</v>
      </c>
      <c r="C4" s="2" t="s">
        <v>2</v>
      </c>
      <c r="D4" s="2" t="s">
        <v>3</v>
      </c>
      <c r="E4" s="2" t="s">
        <v>4</v>
      </c>
      <c r="F4" s="2" t="s">
        <v>5</v>
      </c>
      <c r="G4" s="2" t="s">
        <v>6</v>
      </c>
    </row>
    <row r="5" spans="8:8" ht="15.0" customHeight="1">
      <c r="B5" s="3" t="s">
        <v>7</v>
      </c>
      <c r="C5" s="4">
        <f>'Website 1'!H14</f>
        <v>18.0</v>
      </c>
      <c r="D5" s="4">
        <f>'Website 1'!H16</f>
        <v>10.0</v>
      </c>
      <c r="E5" s="4">
        <f>'Website 1'!H17</f>
        <v>9.0</v>
      </c>
      <c r="F5" s="4">
        <f>'Website 1'!H18</f>
        <v>1.0</v>
      </c>
      <c r="G5" s="5">
        <f>'Website 1'!H19</f>
        <v>0.5263157894736842</v>
      </c>
    </row>
    <row r="6" spans="8:8" ht="15.0" customHeight="1">
      <c r="B6" s="3" t="s">
        <v>8</v>
      </c>
      <c r="C6" s="4">
        <f>'Website 2'!H14</f>
        <v>18.0</v>
      </c>
      <c r="D6" s="4">
        <f>'Website 2'!H16</f>
        <v>10.0</v>
      </c>
      <c r="E6" s="4">
        <f>'Website 2'!H17</f>
        <v>9.0</v>
      </c>
      <c r="F6" s="4">
        <f>'Website 2'!H18</f>
        <v>0.0</v>
      </c>
      <c r="G6" s="5">
        <f>'Website 2'!H19</f>
        <v>0.5263157894736842</v>
      </c>
    </row>
    <row r="7" spans="8:8" ht="15.0" customHeight="1">
      <c r="B7" s="3" t="s">
        <v>9</v>
      </c>
      <c r="C7" s="4">
        <f>'Website 3'!H14</f>
        <v>18.0</v>
      </c>
      <c r="D7" s="4">
        <f>'Website 3'!H16</f>
        <v>9.0</v>
      </c>
      <c r="E7" s="4">
        <f>'Website 3'!H17</f>
        <v>10.0</v>
      </c>
      <c r="F7" s="4">
        <f>'Website 3'!H18</f>
        <v>1.0</v>
      </c>
      <c r="G7" s="5">
        <f>'Website 3'!H19</f>
        <v>0.47368421052631576</v>
      </c>
    </row>
    <row r="8" spans="8:8" ht="15.0" customHeight="1">
      <c r="B8" s="6" t="s">
        <v>10</v>
      </c>
      <c r="C8" s="7">
        <f>SUM(C5:C7)</f>
        <v>54.0</v>
      </c>
      <c r="D8" s="7">
        <f>SUM(D5:D7)</f>
        <v>29.0</v>
      </c>
      <c r="E8" s="7">
        <f>SUM(E5:E7)</f>
        <v>28.0</v>
      </c>
      <c r="F8" s="7">
        <f>SUM(F5:F7)</f>
        <v>2.0</v>
      </c>
      <c r="G8" s="8">
        <f>AVERAGE(G5:G7)</f>
        <v>0.5087719298245613</v>
      </c>
    </row>
    <row r="27" spans="8:8" ht="15.0" customHeight="1">
      <c r="B27" s="9" t="s">
        <v>11</v>
      </c>
    </row>
  </sheetData>
  <mergeCells count="1">
    <mergeCell ref="B2:G2"/>
  </mergeCells>
  <conditionalFormatting sqref="G5:G7">
    <cfRule type="dataBar" priority="2">
      <dataBar>
        <cfvo type="num" val="0"/>
        <cfvo type="num" val="1"/>
        <color rgb="FF2A7E7E"/>
      </dataBar>
    </cfRule>
    <cfRule type="dataBar" priority="32767">
      <dataBar>
        <cfvo type="num" val="0"/>
        <cfvo type="num" val="1"/>
        <color auto="1"/>
      </dataBar>
    </cfRule>
  </conditionalFormatting>
  <conditionalFormatting sqref="G8">
    <cfRule type="cellIs" operator="greaterThanOrEqual" priority="3" dxfId="0">
      <formula>1</formula>
    </cfRule>
  </conditionalFormatting>
  <pageMargins left="0.75" right="0.75" top="1.0" bottom="1.0" header="0.511811023622047" footer="0.511811023622047"/>
  <drawing r:id="rId1"/>
</worksheet>
</file>

<file path=xl/worksheets/sheet3.xml><?xml version="1.0" encoding="utf-8"?>
<worksheet xmlns:r="http://schemas.openxmlformats.org/officeDocument/2006/relationships" xmlns="http://schemas.openxmlformats.org/spreadsheetml/2006/main">
  <dimension ref="A1:GC62"/>
  <sheetViews>
    <sheetView workbookViewId="0" zoomScale="30">
      <selection activeCell="A1" sqref="A1:Y58"/>
    </sheetView>
  </sheetViews>
  <sheetFormatPr defaultRowHeight="12.5" defaultColWidth="10"/>
  <sheetData>
    <row r="1" spans="8:8" ht="12.0" customHeight="1">
      <c r="A1" s="10" t="s">
        <v>160</v>
      </c>
      <c r="B1" s="10"/>
      <c r="C1" s="10"/>
      <c r="D1" s="10"/>
      <c r="E1" s="10"/>
      <c r="F1" s="10"/>
      <c r="G1" s="10"/>
      <c r="H1" s="10"/>
      <c r="I1" s="10"/>
      <c r="J1" s="10"/>
      <c r="K1" s="10"/>
      <c r="L1" s="10"/>
      <c r="M1" s="10"/>
      <c r="N1" s="10"/>
      <c r="O1" s="10"/>
      <c r="P1" s="10"/>
      <c r="Q1" s="10"/>
      <c r="R1" s="10"/>
      <c r="S1" s="10"/>
      <c r="T1" s="10"/>
      <c r="U1" s="10"/>
      <c r="V1" s="10"/>
      <c r="W1" s="10"/>
      <c r="X1" s="10"/>
      <c r="Y1" s="10"/>
      <c r="Z1" s="11"/>
      <c r="AA1" s="11"/>
      <c r="AB1" s="11"/>
      <c r="AC1" s="11"/>
      <c r="AD1" s="11"/>
      <c r="AE1" s="11"/>
      <c r="AF1" s="11"/>
      <c r="AG1" s="11"/>
      <c r="AH1" s="11"/>
      <c r="AI1" s="11"/>
      <c r="AJ1" s="11"/>
      <c r="AK1" s="11"/>
      <c r="AL1" s="11"/>
      <c r="AM1" s="11"/>
      <c r="AN1" s="11"/>
      <c r="AO1" s="11"/>
      <c r="AP1" s="11"/>
      <c r="AQ1" s="11"/>
      <c r="AR1" s="11"/>
      <c r="AS1" s="11"/>
      <c r="AT1" s="11"/>
      <c r="AU1" s="11"/>
      <c r="AV1" s="11"/>
    </row>
    <row r="2" spans="8:8" ht="12.0" customHeight="1">
      <c r="A2" s="10"/>
      <c r="B2" s="10"/>
      <c r="C2" s="10"/>
      <c r="D2" s="10"/>
      <c r="E2" s="10"/>
      <c r="F2" s="10"/>
      <c r="G2" s="10"/>
      <c r="H2" s="10"/>
      <c r="I2" s="10"/>
      <c r="J2" s="10"/>
      <c r="K2" s="10"/>
      <c r="L2" s="10"/>
      <c r="M2" s="10"/>
      <c r="N2" s="10"/>
      <c r="O2" s="10"/>
      <c r="P2" s="10"/>
      <c r="Q2" s="10"/>
      <c r="R2" s="10"/>
      <c r="S2" s="10"/>
      <c r="T2" s="10"/>
      <c r="U2" s="10"/>
      <c r="V2" s="10"/>
      <c r="W2" s="10"/>
      <c r="X2" s="10"/>
      <c r="Y2" s="10"/>
      <c r="Z2" s="11"/>
      <c r="AA2" s="11"/>
      <c r="AB2" s="11"/>
      <c r="AC2" s="11"/>
      <c r="AD2" s="11"/>
      <c r="AE2" s="11"/>
      <c r="AF2" s="11"/>
      <c r="AG2" s="11"/>
      <c r="AH2" s="11"/>
      <c r="AI2" s="11"/>
      <c r="AJ2" s="11"/>
      <c r="AK2" s="11"/>
      <c r="AL2" s="11"/>
      <c r="AM2" s="11"/>
      <c r="AN2" s="11"/>
      <c r="AO2" s="11"/>
      <c r="AP2" s="11"/>
      <c r="AQ2" s="11"/>
      <c r="AR2" s="11"/>
      <c r="AS2" s="11"/>
      <c r="AT2" s="11"/>
      <c r="AU2" s="11"/>
      <c r="AV2" s="11"/>
    </row>
    <row r="3" spans="8:8" ht="12.0" customHeight="1">
      <c r="A3" s="10"/>
      <c r="B3" s="10"/>
      <c r="C3" s="10"/>
      <c r="D3" s="10"/>
      <c r="E3" s="10"/>
      <c r="F3" s="10"/>
      <c r="G3" s="10"/>
      <c r="H3" s="10"/>
      <c r="I3" s="10"/>
      <c r="J3" s="10"/>
      <c r="K3" s="10"/>
      <c r="L3" s="10"/>
      <c r="M3" s="10"/>
      <c r="N3" s="10"/>
      <c r="O3" s="10"/>
      <c r="P3" s="10"/>
      <c r="Q3" s="10"/>
      <c r="R3" s="10"/>
      <c r="S3" s="10"/>
      <c r="T3" s="10"/>
      <c r="U3" s="10"/>
      <c r="V3" s="10"/>
      <c r="W3" s="10"/>
      <c r="X3" s="10"/>
      <c r="Y3" s="10"/>
      <c r="Z3" s="11"/>
      <c r="AA3" s="11"/>
      <c r="AB3" s="11"/>
      <c r="AC3" s="11"/>
      <c r="AD3" s="11"/>
      <c r="AE3" s="11"/>
      <c r="AF3" s="11"/>
      <c r="AG3" s="11"/>
      <c r="AH3" s="11"/>
      <c r="AI3" s="11"/>
      <c r="AJ3" s="11"/>
      <c r="AK3" s="11"/>
      <c r="AL3" s="11"/>
      <c r="AM3" s="11"/>
      <c r="AN3" s="11"/>
      <c r="AO3" s="11"/>
      <c r="AP3" s="11"/>
      <c r="AQ3" s="11"/>
      <c r="AR3" s="11"/>
      <c r="AS3" s="11"/>
      <c r="AT3" s="11"/>
      <c r="AU3" s="11"/>
      <c r="AV3" s="11"/>
    </row>
    <row r="4" spans="8:8" ht="12.0" customHeight="1">
      <c r="A4" s="10"/>
      <c r="B4" s="10"/>
      <c r="C4" s="10"/>
      <c r="D4" s="10"/>
      <c r="E4" s="10"/>
      <c r="F4" s="10"/>
      <c r="G4" s="10"/>
      <c r="H4" s="10"/>
      <c r="I4" s="10"/>
      <c r="J4" s="10"/>
      <c r="K4" s="10"/>
      <c r="L4" s="10"/>
      <c r="M4" s="10"/>
      <c r="N4" s="10"/>
      <c r="O4" s="10"/>
      <c r="P4" s="10"/>
      <c r="Q4" s="10"/>
      <c r="R4" s="10"/>
      <c r="S4" s="10"/>
      <c r="T4" s="10"/>
      <c r="U4" s="10"/>
      <c r="V4" s="10"/>
      <c r="W4" s="10"/>
      <c r="X4" s="10"/>
      <c r="Y4" s="10"/>
      <c r="Z4" s="11"/>
      <c r="AA4" s="11"/>
      <c r="AB4" s="11"/>
      <c r="AC4" s="11"/>
      <c r="AD4" s="11"/>
      <c r="AE4" s="11"/>
      <c r="AF4" s="11"/>
      <c r="AG4" s="11"/>
      <c r="AH4" s="11"/>
      <c r="AI4" s="11"/>
      <c r="AJ4" s="11"/>
      <c r="AK4" s="11"/>
      <c r="AL4" s="11"/>
      <c r="AM4" s="11"/>
      <c r="AN4" s="11"/>
      <c r="AO4" s="11"/>
      <c r="AP4" s="11"/>
      <c r="AQ4" s="11"/>
      <c r="AR4" s="11"/>
      <c r="AS4" s="11"/>
      <c r="AT4" s="11"/>
      <c r="AU4" s="11"/>
      <c r="AV4" s="11"/>
    </row>
    <row r="5" spans="8:8" ht="12.0" customHeight="1">
      <c r="A5" s="10"/>
      <c r="B5" s="10"/>
      <c r="C5" s="10"/>
      <c r="D5" s="10"/>
      <c r="E5" s="10"/>
      <c r="F5" s="10"/>
      <c r="G5" s="10"/>
      <c r="H5" s="10"/>
      <c r="I5" s="10"/>
      <c r="J5" s="10"/>
      <c r="K5" s="10"/>
      <c r="L5" s="10"/>
      <c r="M5" s="10"/>
      <c r="N5" s="10"/>
      <c r="O5" s="10"/>
      <c r="P5" s="10"/>
      <c r="Q5" s="10"/>
      <c r="R5" s="10"/>
      <c r="S5" s="10"/>
      <c r="T5" s="10"/>
      <c r="U5" s="10"/>
      <c r="V5" s="10"/>
      <c r="W5" s="10"/>
      <c r="X5" s="10"/>
      <c r="Y5" s="10"/>
      <c r="Z5" s="11"/>
      <c r="AA5" s="11"/>
      <c r="AB5" s="11"/>
      <c r="AC5" s="11"/>
      <c r="AD5" s="11"/>
      <c r="AE5" s="11"/>
      <c r="AF5" s="11"/>
      <c r="AG5" s="11"/>
      <c r="AH5" s="11"/>
      <c r="AI5" s="11"/>
      <c r="AJ5" s="11"/>
      <c r="AK5" s="11"/>
      <c r="AL5" s="11"/>
      <c r="AM5" s="11"/>
      <c r="AN5" s="11"/>
      <c r="AO5" s="11"/>
      <c r="AP5" s="11"/>
      <c r="AQ5" s="11"/>
      <c r="AR5" s="11"/>
      <c r="AS5" s="11"/>
      <c r="AT5" s="11"/>
      <c r="AU5" s="11"/>
      <c r="AV5" s="11"/>
    </row>
    <row r="6" spans="8:8" ht="12.0" customHeight="1">
      <c r="A6" s="10"/>
      <c r="B6" s="10"/>
      <c r="C6" s="10"/>
      <c r="D6" s="10"/>
      <c r="E6" s="10"/>
      <c r="F6" s="10"/>
      <c r="G6" s="10"/>
      <c r="H6" s="10"/>
      <c r="I6" s="10"/>
      <c r="J6" s="10"/>
      <c r="K6" s="10"/>
      <c r="L6" s="10"/>
      <c r="M6" s="10"/>
      <c r="N6" s="10"/>
      <c r="O6" s="10"/>
      <c r="P6" s="10"/>
      <c r="Q6" s="10"/>
      <c r="R6" s="10"/>
      <c r="S6" s="10"/>
      <c r="T6" s="10"/>
      <c r="U6" s="10"/>
      <c r="V6" s="10"/>
      <c r="W6" s="10"/>
      <c r="X6" s="10"/>
      <c r="Y6" s="10"/>
      <c r="Z6" s="11"/>
      <c r="AA6" s="11"/>
      <c r="AB6" s="11"/>
      <c r="AC6" s="11"/>
      <c r="AD6" s="11"/>
      <c r="AE6" s="11"/>
      <c r="AF6" s="11"/>
      <c r="AG6" s="11"/>
      <c r="AH6" s="11"/>
      <c r="AI6" s="11"/>
      <c r="AJ6" s="11"/>
      <c r="AK6" s="11"/>
      <c r="AL6" s="11"/>
      <c r="AM6" s="11"/>
      <c r="AN6" s="11"/>
      <c r="AO6" s="11"/>
      <c r="AP6" s="11"/>
      <c r="AQ6" s="11"/>
      <c r="AR6" s="11"/>
      <c r="AS6" s="11"/>
      <c r="AT6" s="11"/>
      <c r="AU6" s="11"/>
      <c r="AV6" s="11"/>
    </row>
    <row r="7" spans="8:8" ht="12.0" customHeight="1">
      <c r="A7" s="10"/>
      <c r="B7" s="10"/>
      <c r="C7" s="10"/>
      <c r="D7" s="10"/>
      <c r="E7" s="10"/>
      <c r="F7" s="10"/>
      <c r="G7" s="10"/>
      <c r="H7" s="10"/>
      <c r="I7" s="10"/>
      <c r="J7" s="10"/>
      <c r="K7" s="10"/>
      <c r="L7" s="10"/>
      <c r="M7" s="10"/>
      <c r="N7" s="10"/>
      <c r="O7" s="10"/>
      <c r="P7" s="10"/>
      <c r="Q7" s="10"/>
      <c r="R7" s="10"/>
      <c r="S7" s="10"/>
      <c r="T7" s="10"/>
      <c r="U7" s="10"/>
      <c r="V7" s="10"/>
      <c r="W7" s="10"/>
      <c r="X7" s="10"/>
      <c r="Y7" s="10"/>
      <c r="Z7" s="11"/>
      <c r="AA7" s="11"/>
      <c r="AB7" s="11"/>
      <c r="AC7" s="11"/>
      <c r="AD7" s="11"/>
      <c r="AE7" s="11"/>
      <c r="AF7" s="11"/>
      <c r="AG7" s="11"/>
      <c r="AH7" s="11"/>
      <c r="AI7" s="11"/>
      <c r="AJ7" s="11"/>
      <c r="AK7" s="11"/>
      <c r="AL7" s="11"/>
      <c r="AM7" s="11"/>
      <c r="AN7" s="11"/>
      <c r="AO7" s="11"/>
      <c r="AP7" s="11"/>
      <c r="AQ7" s="11"/>
      <c r="AR7" s="11"/>
      <c r="AS7" s="11"/>
      <c r="AT7" s="11"/>
      <c r="AU7" s="11"/>
      <c r="AV7" s="11"/>
    </row>
    <row r="8" spans="8:8" ht="12.0" customHeight="1">
      <c r="A8" s="10"/>
      <c r="B8" s="10"/>
      <c r="C8" s="10"/>
      <c r="D8" s="10"/>
      <c r="E8" s="10"/>
      <c r="F8" s="10"/>
      <c r="G8" s="10"/>
      <c r="H8" s="10"/>
      <c r="I8" s="10"/>
      <c r="J8" s="10"/>
      <c r="K8" s="10"/>
      <c r="L8" s="10"/>
      <c r="M8" s="10"/>
      <c r="N8" s="10"/>
      <c r="O8" s="10"/>
      <c r="P8" s="10"/>
      <c r="Q8" s="10"/>
      <c r="R8" s="10"/>
      <c r="S8" s="10"/>
      <c r="T8" s="10"/>
      <c r="U8" s="10"/>
      <c r="V8" s="10"/>
      <c r="W8" s="10"/>
      <c r="X8" s="10"/>
      <c r="Y8" s="10"/>
      <c r="Z8" s="11"/>
      <c r="AA8" s="11"/>
      <c r="AB8" s="11"/>
      <c r="AC8" s="11"/>
      <c r="AD8" s="11"/>
      <c r="AE8" s="11"/>
      <c r="AF8" s="11"/>
      <c r="AG8" s="11"/>
      <c r="AH8" s="11"/>
      <c r="AI8" s="11"/>
      <c r="AJ8" s="11"/>
      <c r="AK8" s="11"/>
      <c r="AL8" s="11"/>
      <c r="AM8" s="11"/>
      <c r="AN8" s="11"/>
      <c r="AO8" s="11"/>
      <c r="AP8" s="11"/>
      <c r="AQ8" s="11"/>
      <c r="AR8" s="11"/>
      <c r="AS8" s="11"/>
      <c r="AT8" s="11"/>
      <c r="AU8" s="11"/>
      <c r="AV8" s="11"/>
    </row>
    <row r="9" spans="8:8" ht="12.0" customHeight="1">
      <c r="A9" s="10"/>
      <c r="B9" s="10"/>
      <c r="C9" s="10"/>
      <c r="D9" s="10"/>
      <c r="E9" s="10"/>
      <c r="F9" s="10"/>
      <c r="G9" s="10"/>
      <c r="H9" s="10"/>
      <c r="I9" s="10"/>
      <c r="J9" s="10"/>
      <c r="K9" s="10"/>
      <c r="L9" s="10"/>
      <c r="M9" s="10"/>
      <c r="N9" s="10"/>
      <c r="O9" s="10"/>
      <c r="P9" s="10"/>
      <c r="Q9" s="10"/>
      <c r="R9" s="10"/>
      <c r="S9" s="10"/>
      <c r="T9" s="10"/>
      <c r="U9" s="10"/>
      <c r="V9" s="10"/>
      <c r="W9" s="10"/>
      <c r="X9" s="10"/>
      <c r="Y9" s="10"/>
      <c r="Z9" s="11"/>
      <c r="AA9" s="11"/>
      <c r="AB9" s="11"/>
      <c r="AC9" s="11"/>
      <c r="AD9" s="11"/>
      <c r="AE9" s="11"/>
      <c r="AF9" s="11"/>
      <c r="AG9" s="11"/>
      <c r="AH9" s="11"/>
      <c r="AI9" s="11"/>
      <c r="AJ9" s="11"/>
      <c r="AK9" s="11"/>
      <c r="AL9" s="11"/>
      <c r="AM9" s="11"/>
      <c r="AN9" s="11"/>
      <c r="AO9" s="11"/>
      <c r="AP9" s="11"/>
      <c r="AQ9" s="11"/>
      <c r="AR9" s="11"/>
      <c r="AS9" s="11"/>
      <c r="AT9" s="11"/>
      <c r="AU9" s="11"/>
      <c r="AV9" s="11"/>
    </row>
    <row r="10" spans="8:8" ht="12.0" customHeight="1">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1"/>
      <c r="AA10" s="11"/>
      <c r="AB10" s="11"/>
      <c r="AC10" s="11"/>
      <c r="AD10" s="11"/>
      <c r="AE10" s="11"/>
      <c r="AF10" s="11"/>
      <c r="AG10" s="11"/>
      <c r="AH10" s="11"/>
      <c r="AI10" s="11"/>
      <c r="AJ10" s="11"/>
      <c r="AK10" s="11"/>
      <c r="AL10" s="11"/>
      <c r="AM10" s="11"/>
      <c r="AN10" s="11"/>
      <c r="AO10" s="11"/>
      <c r="AP10" s="11"/>
      <c r="AQ10" s="11"/>
      <c r="AR10" s="11"/>
      <c r="AS10" s="11"/>
      <c r="AT10" s="11"/>
      <c r="AU10" s="11"/>
      <c r="AV10" s="11"/>
    </row>
    <row r="11" spans="8:8" ht="12.0" customHeight="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1"/>
      <c r="AA11" s="11"/>
      <c r="AB11" s="11"/>
      <c r="AC11" s="11"/>
      <c r="AD11" s="11"/>
      <c r="AE11" s="11"/>
      <c r="AF11" s="11"/>
      <c r="AG11" s="11"/>
      <c r="AH11" s="11"/>
      <c r="AI11" s="11"/>
      <c r="AJ11" s="11"/>
      <c r="AK11" s="11"/>
      <c r="AL11" s="11"/>
      <c r="AM11" s="11"/>
      <c r="AN11" s="11"/>
      <c r="AO11" s="11"/>
      <c r="AP11" s="11"/>
      <c r="AQ11" s="11"/>
      <c r="AR11" s="11"/>
      <c r="AS11" s="11"/>
      <c r="AT11" s="11"/>
      <c r="AU11" s="11"/>
      <c r="AV11" s="11"/>
    </row>
    <row r="12" spans="8:8" ht="12.0" customHeight="1">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1"/>
      <c r="AA12" s="11"/>
      <c r="AB12" s="11"/>
      <c r="AC12" s="11"/>
      <c r="AD12" s="11"/>
      <c r="AE12" s="11"/>
      <c r="AF12" s="11"/>
      <c r="AG12" s="11"/>
      <c r="AH12" s="11"/>
      <c r="AI12" s="11"/>
      <c r="AJ12" s="11"/>
      <c r="AK12" s="11"/>
      <c r="AL12" s="11"/>
      <c r="AM12" s="11"/>
      <c r="AN12" s="11"/>
      <c r="AO12" s="11"/>
      <c r="AP12" s="11"/>
      <c r="AQ12" s="11"/>
      <c r="AR12" s="11"/>
      <c r="AS12" s="11"/>
      <c r="AT12" s="11"/>
      <c r="AU12" s="11"/>
      <c r="AV12" s="11"/>
    </row>
    <row r="13" spans="8:8" ht="12.0" customHeight="1">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1"/>
      <c r="AA13" s="11"/>
      <c r="AB13" s="11"/>
      <c r="AC13" s="11"/>
      <c r="AD13" s="11"/>
      <c r="AE13" s="11"/>
      <c r="AF13" s="11"/>
      <c r="AG13" s="11"/>
      <c r="AH13" s="11"/>
      <c r="AI13" s="11"/>
      <c r="AJ13" s="11"/>
      <c r="AK13" s="11"/>
      <c r="AL13" s="11"/>
      <c r="AM13" s="11"/>
      <c r="AN13" s="11"/>
      <c r="AO13" s="11"/>
      <c r="AP13" s="11"/>
      <c r="AQ13" s="11"/>
      <c r="AR13" s="11"/>
      <c r="AS13" s="11"/>
      <c r="AT13" s="11"/>
      <c r="AU13" s="11"/>
      <c r="AV13" s="11"/>
    </row>
    <row r="14" spans="8:8" ht="12.0" customHeight="1">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1"/>
      <c r="AA14" s="11"/>
      <c r="AB14" s="11"/>
      <c r="AC14" s="11"/>
      <c r="AD14" s="11"/>
      <c r="AE14" s="11"/>
      <c r="AF14" s="11"/>
      <c r="AG14" s="11"/>
      <c r="AH14" s="11"/>
      <c r="AI14" s="11"/>
      <c r="AJ14" s="11"/>
      <c r="AK14" s="11"/>
      <c r="AL14" s="11"/>
      <c r="AM14" s="11"/>
      <c r="AN14" s="11"/>
      <c r="AO14" s="11"/>
      <c r="AP14" s="11"/>
      <c r="AQ14" s="11"/>
      <c r="AR14" s="11"/>
      <c r="AS14" s="11"/>
      <c r="AT14" s="11"/>
      <c r="AU14" s="11"/>
      <c r="AV14" s="11"/>
    </row>
    <row r="15" spans="8:8" ht="12.0" customHeight="1">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1"/>
      <c r="AA15" s="11"/>
      <c r="AB15" s="11"/>
      <c r="AC15" s="11"/>
      <c r="AD15" s="11"/>
      <c r="AE15" s="11"/>
      <c r="AF15" s="11"/>
      <c r="AG15" s="11"/>
      <c r="AH15" s="11"/>
      <c r="AI15" s="11"/>
      <c r="AJ15" s="11"/>
      <c r="AK15" s="11"/>
      <c r="AL15" s="11"/>
      <c r="AM15" s="11"/>
      <c r="AN15" s="11"/>
      <c r="AO15" s="11"/>
      <c r="AP15" s="11"/>
      <c r="AQ15" s="11"/>
      <c r="AR15" s="11"/>
      <c r="AS15" s="11"/>
      <c r="AT15" s="11"/>
      <c r="AU15" s="11"/>
      <c r="AV15" s="11"/>
    </row>
    <row r="16" spans="8:8" ht="12.0"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1"/>
      <c r="AA16" s="11"/>
      <c r="AB16" s="11"/>
      <c r="AC16" s="11"/>
      <c r="AD16" s="11"/>
      <c r="AE16" s="11"/>
      <c r="AF16" s="11"/>
      <c r="AG16" s="11"/>
      <c r="AH16" s="11"/>
      <c r="AI16" s="11"/>
      <c r="AJ16" s="11"/>
      <c r="AK16" s="11"/>
      <c r="AL16" s="11"/>
      <c r="AM16" s="11"/>
      <c r="AN16" s="11"/>
      <c r="AO16" s="11"/>
      <c r="AP16" s="11"/>
      <c r="AQ16" s="11"/>
      <c r="AR16" s="11"/>
      <c r="AS16" s="11"/>
      <c r="AT16" s="11"/>
      <c r="AU16" s="11"/>
      <c r="AV16" s="11"/>
    </row>
    <row r="17" spans="8:8" ht="12.0"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1"/>
      <c r="AA17" s="11"/>
      <c r="AB17" s="11"/>
      <c r="AC17" s="11"/>
      <c r="AD17" s="11"/>
      <c r="AE17" s="11"/>
      <c r="AF17" s="11"/>
      <c r="AG17" s="11"/>
      <c r="AH17" s="11"/>
      <c r="AI17" s="11"/>
      <c r="AJ17" s="11"/>
      <c r="AK17" s="11"/>
      <c r="AL17" s="11"/>
      <c r="AM17" s="11"/>
      <c r="AN17" s="11"/>
      <c r="AO17" s="11"/>
      <c r="AP17" s="11"/>
      <c r="AQ17" s="11"/>
      <c r="AR17" s="11"/>
      <c r="AS17" s="11"/>
      <c r="AT17" s="11"/>
      <c r="AU17" s="11"/>
      <c r="AV17" s="11"/>
    </row>
    <row r="18" spans="8:8" ht="12.0"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1"/>
      <c r="AA18" s="11"/>
      <c r="AB18" s="11"/>
      <c r="AC18" s="11"/>
      <c r="AD18" s="11"/>
      <c r="AE18" s="11"/>
      <c r="AF18" s="11"/>
      <c r="AG18" s="11"/>
      <c r="AH18" s="11"/>
      <c r="AI18" s="11"/>
      <c r="AJ18" s="11"/>
      <c r="AK18" s="11"/>
      <c r="AL18" s="11"/>
      <c r="AM18" s="11"/>
      <c r="AN18" s="11"/>
      <c r="AO18" s="11"/>
      <c r="AP18" s="11"/>
      <c r="AQ18" s="11"/>
      <c r="AR18" s="11"/>
      <c r="AS18" s="11"/>
      <c r="AT18" s="11"/>
      <c r="AU18" s="11"/>
      <c r="AV18" s="11"/>
    </row>
    <row r="19" spans="8:8" ht="12.0"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1"/>
      <c r="AA19" s="11"/>
      <c r="AB19" s="11"/>
      <c r="AC19" s="11"/>
      <c r="AD19" s="11"/>
      <c r="AE19" s="11"/>
      <c r="AF19" s="11"/>
      <c r="AG19" s="11"/>
      <c r="AH19" s="11"/>
      <c r="AI19" s="11"/>
      <c r="AJ19" s="11"/>
      <c r="AK19" s="11"/>
      <c r="AL19" s="11"/>
      <c r="AM19" s="11"/>
      <c r="AN19" s="11"/>
      <c r="AO19" s="11"/>
      <c r="AP19" s="11"/>
      <c r="AQ19" s="11"/>
      <c r="AR19" s="11"/>
      <c r="AS19" s="11"/>
      <c r="AT19" s="11"/>
      <c r="AU19" s="11"/>
      <c r="AV19" s="11"/>
    </row>
    <row r="20" spans="8:8" ht="12.0"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1"/>
      <c r="AA20" s="11"/>
      <c r="AB20" s="11"/>
      <c r="AC20" s="11"/>
      <c r="AD20" s="11"/>
      <c r="AE20" s="11"/>
      <c r="AF20" s="11"/>
      <c r="AG20" s="11"/>
      <c r="AH20" s="11"/>
      <c r="AI20" s="11"/>
      <c r="AJ20" s="11"/>
      <c r="AK20" s="11"/>
      <c r="AL20" s="11"/>
      <c r="AM20" s="11"/>
      <c r="AN20" s="11"/>
      <c r="AO20" s="11"/>
      <c r="AP20" s="11"/>
      <c r="AQ20" s="11"/>
      <c r="AR20" s="11"/>
      <c r="AS20" s="11"/>
      <c r="AT20" s="11"/>
      <c r="AU20" s="11"/>
      <c r="AV20" s="11"/>
    </row>
    <row r="21" spans="8:8" ht="12.0"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1"/>
      <c r="AA21" s="11"/>
      <c r="AB21" s="11"/>
      <c r="AC21" s="11"/>
      <c r="AD21" s="11"/>
      <c r="AE21" s="11"/>
      <c r="AF21" s="11"/>
      <c r="AG21" s="11"/>
      <c r="AH21" s="11"/>
      <c r="AI21" s="11"/>
      <c r="AJ21" s="11"/>
      <c r="AK21" s="11"/>
      <c r="AL21" s="11"/>
      <c r="AM21" s="11"/>
      <c r="AN21" s="11"/>
      <c r="AO21" s="11"/>
      <c r="AP21" s="11"/>
      <c r="AQ21" s="11"/>
      <c r="AR21" s="11"/>
      <c r="AS21" s="11"/>
      <c r="AT21" s="11"/>
      <c r="AU21" s="11"/>
      <c r="AV21" s="11"/>
    </row>
    <row r="22" spans="8:8" ht="12.0"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1"/>
      <c r="AA22" s="11"/>
      <c r="AB22" s="11"/>
      <c r="AC22" s="11"/>
      <c r="AD22" s="11"/>
      <c r="AE22" s="11"/>
      <c r="AF22" s="11"/>
      <c r="AG22" s="11"/>
      <c r="AH22" s="11"/>
      <c r="AI22" s="11"/>
      <c r="AJ22" s="11"/>
      <c r="AK22" s="11"/>
      <c r="AL22" s="11"/>
      <c r="AM22" s="11"/>
      <c r="AN22" s="11"/>
      <c r="AO22" s="11"/>
      <c r="AP22" s="11"/>
      <c r="AQ22" s="11"/>
      <c r="AR22" s="11"/>
      <c r="AS22" s="11"/>
      <c r="AT22" s="11"/>
      <c r="AU22" s="11"/>
      <c r="AV22" s="11"/>
    </row>
    <row r="23" spans="8:8" ht="12.0"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1"/>
      <c r="AA23" s="11"/>
      <c r="AB23" s="11"/>
      <c r="AC23" s="11"/>
      <c r="AD23" s="11"/>
      <c r="AE23" s="11"/>
      <c r="AF23" s="11"/>
      <c r="AG23" s="11"/>
      <c r="AH23" s="11"/>
      <c r="AI23" s="11"/>
      <c r="AJ23" s="11"/>
      <c r="AK23" s="11"/>
      <c r="AL23" s="11"/>
      <c r="AM23" s="11"/>
      <c r="AN23" s="11"/>
      <c r="AO23" s="11"/>
      <c r="AP23" s="11"/>
      <c r="AQ23" s="11"/>
      <c r="AR23" s="11"/>
      <c r="AS23" s="11"/>
      <c r="AT23" s="11"/>
      <c r="AU23" s="11"/>
      <c r="AV23" s="11"/>
    </row>
    <row r="24" spans="8:8" ht="12.0"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1"/>
      <c r="AA24" s="11"/>
      <c r="AB24" s="11"/>
      <c r="AC24" s="11"/>
      <c r="AD24" s="11"/>
      <c r="AE24" s="11"/>
      <c r="AF24" s="11"/>
      <c r="AG24" s="11"/>
      <c r="AH24" s="11"/>
      <c r="AI24" s="11"/>
      <c r="AJ24" s="11"/>
      <c r="AK24" s="11"/>
      <c r="AL24" s="11"/>
      <c r="AM24" s="11"/>
      <c r="AN24" s="11"/>
      <c r="AO24" s="11"/>
      <c r="AP24" s="11"/>
      <c r="AQ24" s="11"/>
      <c r="AR24" s="11"/>
      <c r="AS24" s="11"/>
      <c r="AT24" s="11"/>
      <c r="AU24" s="11"/>
      <c r="AV24" s="11"/>
    </row>
    <row r="25" spans="8:8" ht="12.0"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1"/>
      <c r="AA25" s="11"/>
      <c r="AB25" s="11"/>
      <c r="AC25" s="11"/>
      <c r="AD25" s="11"/>
      <c r="AE25" s="11"/>
      <c r="AF25" s="11"/>
      <c r="AG25" s="11"/>
      <c r="AH25" s="11"/>
      <c r="AI25" s="11"/>
      <c r="AJ25" s="11"/>
      <c r="AK25" s="11"/>
      <c r="AL25" s="11"/>
      <c r="AM25" s="11"/>
      <c r="AN25" s="11"/>
      <c r="AO25" s="11"/>
      <c r="AP25" s="11"/>
      <c r="AQ25" s="11"/>
      <c r="AR25" s="11"/>
      <c r="AS25" s="11"/>
      <c r="AT25" s="11"/>
      <c r="AU25" s="11"/>
      <c r="AV25" s="11"/>
    </row>
    <row r="26" spans="8:8" ht="12.0"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1"/>
      <c r="AA26" s="11"/>
      <c r="AB26" s="11"/>
      <c r="AC26" s="11"/>
      <c r="AD26" s="11"/>
      <c r="AE26" s="11"/>
      <c r="AF26" s="11"/>
      <c r="AG26" s="11"/>
      <c r="AH26" s="11"/>
      <c r="AI26" s="11"/>
      <c r="AJ26" s="11"/>
      <c r="AK26" s="11"/>
      <c r="AL26" s="11"/>
      <c r="AM26" s="11"/>
      <c r="AN26" s="11"/>
      <c r="AO26" s="11"/>
      <c r="AP26" s="11"/>
      <c r="AQ26" s="11"/>
      <c r="AR26" s="11"/>
      <c r="AS26" s="11"/>
      <c r="AT26" s="11"/>
      <c r="AU26" s="11"/>
      <c r="AV26" s="11"/>
    </row>
    <row r="27" spans="8:8" ht="12.0"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1"/>
      <c r="AA27" s="11"/>
      <c r="AB27" s="11"/>
      <c r="AC27" s="11"/>
      <c r="AD27" s="11"/>
      <c r="AE27" s="11"/>
      <c r="AF27" s="11"/>
      <c r="AG27" s="11"/>
      <c r="AH27" s="11"/>
      <c r="AI27" s="11"/>
      <c r="AJ27" s="11"/>
      <c r="AK27" s="11"/>
      <c r="AL27" s="11"/>
      <c r="AM27" s="11"/>
      <c r="AN27" s="11"/>
      <c r="AO27" s="11"/>
      <c r="AP27" s="11"/>
      <c r="AQ27" s="11"/>
      <c r="AR27" s="11"/>
      <c r="AS27" s="11"/>
      <c r="AT27" s="11"/>
      <c r="AU27" s="11"/>
      <c r="AV27" s="11"/>
    </row>
    <row r="28" spans="8:8" ht="12.0"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1"/>
      <c r="AA28" s="11"/>
      <c r="AB28" s="11"/>
      <c r="AC28" s="11"/>
      <c r="AD28" s="11"/>
      <c r="AE28" s="11"/>
      <c r="AF28" s="11"/>
      <c r="AG28" s="11"/>
      <c r="AH28" s="11"/>
      <c r="AI28" s="11"/>
      <c r="AJ28" s="11"/>
      <c r="AK28" s="11"/>
      <c r="AL28" s="11"/>
      <c r="AM28" s="11"/>
      <c r="AN28" s="11"/>
      <c r="AO28" s="11"/>
      <c r="AP28" s="11"/>
      <c r="AQ28" s="11"/>
      <c r="AR28" s="11"/>
      <c r="AS28" s="11"/>
      <c r="AT28" s="11"/>
      <c r="AU28" s="11"/>
      <c r="AV28" s="11"/>
    </row>
    <row r="29" spans="8:8" ht="12.0"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1"/>
      <c r="AA29" s="11"/>
      <c r="AB29" s="11"/>
      <c r="AC29" s="11"/>
      <c r="AD29" s="11"/>
      <c r="AE29" s="11"/>
      <c r="AF29" s="11"/>
      <c r="AG29" s="11"/>
      <c r="AH29" s="11"/>
      <c r="AI29" s="11"/>
      <c r="AJ29" s="11"/>
      <c r="AK29" s="11"/>
      <c r="AL29" s="11"/>
      <c r="AM29" s="11"/>
      <c r="AN29" s="11"/>
      <c r="AO29" s="11"/>
      <c r="AP29" s="11"/>
      <c r="AQ29" s="11"/>
      <c r="AR29" s="11"/>
      <c r="AS29" s="11"/>
      <c r="AT29" s="11"/>
      <c r="AU29" s="11"/>
      <c r="AV29" s="11"/>
    </row>
    <row r="30" spans="8:8" ht="12.0"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1"/>
      <c r="AA30" s="11"/>
      <c r="AB30" s="11"/>
      <c r="AC30" s="11"/>
      <c r="AD30" s="11"/>
      <c r="AE30" s="11"/>
      <c r="AF30" s="11"/>
      <c r="AG30" s="11"/>
      <c r="AH30" s="11"/>
      <c r="AI30" s="11"/>
      <c r="AJ30" s="11"/>
      <c r="AK30" s="11"/>
      <c r="AL30" s="11"/>
      <c r="AM30" s="11"/>
      <c r="AN30" s="11"/>
      <c r="AO30" s="11"/>
      <c r="AP30" s="11"/>
      <c r="AQ30" s="11"/>
      <c r="AR30" s="11"/>
      <c r="AS30" s="11"/>
      <c r="AT30" s="11"/>
      <c r="AU30" s="11"/>
      <c r="AV30" s="11"/>
    </row>
    <row r="31" spans="8:8" ht="12.0"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1"/>
      <c r="AA31" s="11"/>
      <c r="AB31" s="11"/>
      <c r="AC31" s="11"/>
      <c r="AD31" s="11"/>
      <c r="AE31" s="11"/>
      <c r="AF31" s="11"/>
      <c r="AG31" s="11"/>
      <c r="AH31" s="11"/>
      <c r="AI31" s="11"/>
      <c r="AJ31" s="11"/>
      <c r="AK31" s="11"/>
      <c r="AL31" s="11"/>
      <c r="AM31" s="11"/>
      <c r="AN31" s="11"/>
      <c r="AO31" s="11"/>
      <c r="AP31" s="11"/>
      <c r="AQ31" s="11"/>
      <c r="AR31" s="11"/>
      <c r="AS31" s="11"/>
      <c r="AT31" s="11"/>
      <c r="AU31" s="11"/>
      <c r="AV31" s="11"/>
    </row>
    <row r="32" spans="8:8" ht="12.0"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1"/>
      <c r="AA32" s="11"/>
      <c r="AB32" s="11"/>
      <c r="AC32" s="11"/>
      <c r="AD32" s="11"/>
      <c r="AE32" s="11"/>
      <c r="AF32" s="11"/>
      <c r="AG32" s="11"/>
      <c r="AH32" s="11"/>
      <c r="AI32" s="11"/>
      <c r="AJ32" s="11"/>
      <c r="AK32" s="11"/>
      <c r="AL32" s="11"/>
      <c r="AM32" s="11"/>
      <c r="AN32" s="11"/>
      <c r="AO32" s="11"/>
      <c r="AP32" s="11"/>
      <c r="AQ32" s="11"/>
      <c r="AR32" s="11"/>
      <c r="AS32" s="11"/>
      <c r="AT32" s="11"/>
      <c r="AU32" s="11"/>
      <c r="AV32" s="11"/>
    </row>
    <row r="33" spans="8:8" ht="12.0"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1"/>
      <c r="AA33" s="11"/>
      <c r="AB33" s="11"/>
      <c r="AC33" s="11"/>
      <c r="AD33" s="11"/>
      <c r="AE33" s="11"/>
      <c r="AF33" s="11"/>
      <c r="AG33" s="11"/>
      <c r="AH33" s="11"/>
      <c r="AI33" s="11"/>
      <c r="AJ33" s="11"/>
      <c r="AK33" s="11"/>
      <c r="AL33" s="11"/>
      <c r="AM33" s="11"/>
      <c r="AN33" s="11"/>
      <c r="AO33" s="11"/>
      <c r="AP33" s="11"/>
      <c r="AQ33" s="11"/>
      <c r="AR33" s="11"/>
      <c r="AS33" s="11"/>
      <c r="AT33" s="11"/>
      <c r="AU33" s="11"/>
      <c r="AV33" s="11"/>
    </row>
    <row r="34" spans="8:8" ht="12.0"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1"/>
      <c r="AA34" s="11"/>
      <c r="AB34" s="11"/>
      <c r="AC34" s="11"/>
      <c r="AD34" s="11"/>
      <c r="AE34" s="11"/>
      <c r="AF34" s="11"/>
      <c r="AG34" s="11"/>
      <c r="AH34" s="11"/>
      <c r="AI34" s="11"/>
      <c r="AJ34" s="11"/>
      <c r="AK34" s="11"/>
      <c r="AL34" s="11"/>
      <c r="AM34" s="11"/>
      <c r="AN34" s="11"/>
      <c r="AO34" s="11"/>
      <c r="AP34" s="11"/>
      <c r="AQ34" s="11"/>
      <c r="AR34" s="11"/>
      <c r="AS34" s="11"/>
      <c r="AT34" s="11"/>
      <c r="AU34" s="11"/>
      <c r="AV34" s="11"/>
    </row>
    <row r="35" spans="8:8" ht="12.0"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1"/>
      <c r="AA35" s="11"/>
      <c r="AB35" s="11"/>
      <c r="AC35" s="11"/>
      <c r="AD35" s="11"/>
      <c r="AE35" s="11"/>
      <c r="AF35" s="11"/>
      <c r="AG35" s="11"/>
      <c r="AH35" s="11"/>
      <c r="AI35" s="11"/>
      <c r="AJ35" s="11"/>
      <c r="AK35" s="11"/>
      <c r="AL35" s="11"/>
      <c r="AM35" s="11"/>
      <c r="AN35" s="11"/>
      <c r="AO35" s="11"/>
      <c r="AP35" s="11"/>
      <c r="AQ35" s="11"/>
      <c r="AR35" s="11"/>
      <c r="AS35" s="11"/>
      <c r="AT35" s="11"/>
      <c r="AU35" s="11"/>
      <c r="AV35" s="11"/>
    </row>
    <row r="36" spans="8:8" ht="12.0"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1"/>
      <c r="AA36" s="11"/>
      <c r="AB36" s="11"/>
      <c r="AC36" s="11"/>
      <c r="AD36" s="11"/>
      <c r="AE36" s="11"/>
      <c r="AF36" s="11"/>
      <c r="AG36" s="11"/>
      <c r="AH36" s="11"/>
      <c r="AI36" s="11"/>
      <c r="AJ36" s="11"/>
      <c r="AK36" s="11"/>
      <c r="AL36" s="11"/>
      <c r="AM36" s="11"/>
      <c r="AN36" s="11"/>
      <c r="AO36" s="11"/>
      <c r="AP36" s="11"/>
      <c r="AQ36" s="11"/>
      <c r="AR36" s="11"/>
      <c r="AS36" s="11"/>
      <c r="AT36" s="11"/>
      <c r="AU36" s="11"/>
      <c r="AV36" s="11"/>
    </row>
    <row r="37" spans="8:8" ht="12.0"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1"/>
      <c r="AA37" s="11"/>
      <c r="AB37" s="11"/>
      <c r="AC37" s="11"/>
      <c r="AD37" s="11"/>
      <c r="AE37" s="11"/>
      <c r="AF37" s="11"/>
      <c r="AG37" s="11"/>
      <c r="AH37" s="11"/>
      <c r="AI37" s="11"/>
      <c r="AJ37" s="11"/>
      <c r="AK37" s="11"/>
      <c r="AL37" s="11"/>
      <c r="AM37" s="11"/>
      <c r="AN37" s="11"/>
      <c r="AO37" s="11"/>
      <c r="AP37" s="11"/>
      <c r="AQ37" s="11"/>
      <c r="AR37" s="11"/>
      <c r="AS37" s="11"/>
      <c r="AT37" s="11"/>
      <c r="AU37" s="11"/>
      <c r="AV37" s="11"/>
    </row>
    <row r="38" spans="8:8" ht="12.0"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1"/>
      <c r="AA38" s="11"/>
      <c r="AB38" s="11"/>
      <c r="AC38" s="11"/>
      <c r="AD38" s="11"/>
      <c r="AE38" s="11"/>
      <c r="AF38" s="11"/>
      <c r="AG38" s="11"/>
      <c r="AH38" s="11"/>
      <c r="AI38" s="11"/>
      <c r="AJ38" s="11"/>
      <c r="AK38" s="11"/>
      <c r="AL38" s="11"/>
      <c r="AM38" s="11"/>
      <c r="AN38" s="11"/>
      <c r="AO38" s="11"/>
      <c r="AP38" s="11"/>
      <c r="AQ38" s="11"/>
      <c r="AR38" s="11"/>
      <c r="AS38" s="11"/>
      <c r="AT38" s="11"/>
      <c r="AU38" s="11"/>
      <c r="AV38" s="11"/>
    </row>
    <row r="39" spans="8:8" ht="12.0"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1"/>
      <c r="AA39" s="11"/>
      <c r="AB39" s="11"/>
      <c r="AC39" s="11"/>
      <c r="AD39" s="11"/>
      <c r="AE39" s="11"/>
      <c r="AF39" s="11"/>
      <c r="AG39" s="11"/>
      <c r="AH39" s="11"/>
      <c r="AI39" s="11"/>
      <c r="AJ39" s="11"/>
      <c r="AK39" s="11"/>
      <c r="AL39" s="11"/>
      <c r="AM39" s="11"/>
      <c r="AN39" s="11"/>
      <c r="AO39" s="11"/>
      <c r="AP39" s="11"/>
      <c r="AQ39" s="11"/>
      <c r="AR39" s="11"/>
      <c r="AS39" s="11"/>
      <c r="AT39" s="11"/>
      <c r="AU39" s="11"/>
      <c r="AV39" s="11"/>
    </row>
    <row r="40" spans="8:8" ht="12.0"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1"/>
      <c r="AA40" s="11"/>
      <c r="AB40" s="11"/>
      <c r="AC40" s="11"/>
      <c r="AD40" s="11"/>
      <c r="AE40" s="11"/>
      <c r="AF40" s="11"/>
      <c r="AG40" s="11"/>
      <c r="AH40" s="11"/>
      <c r="AI40" s="11"/>
      <c r="AJ40" s="11"/>
      <c r="AK40" s="11"/>
      <c r="AL40" s="11"/>
      <c r="AM40" s="11"/>
      <c r="AN40" s="11"/>
      <c r="AO40" s="11"/>
      <c r="AP40" s="11"/>
      <c r="AQ40" s="11"/>
      <c r="AR40" s="11"/>
      <c r="AS40" s="11"/>
      <c r="AT40" s="11"/>
      <c r="AU40" s="11"/>
      <c r="AV40" s="11"/>
    </row>
    <row r="41" spans="8:8" ht="12.0"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1"/>
      <c r="AA41" s="11"/>
      <c r="AB41" s="11"/>
      <c r="AC41" s="11"/>
      <c r="AD41" s="11"/>
      <c r="AE41" s="11"/>
      <c r="AF41" s="11"/>
      <c r="AG41" s="11"/>
      <c r="AH41" s="11"/>
      <c r="AI41" s="11"/>
      <c r="AJ41" s="11"/>
      <c r="AK41" s="11"/>
      <c r="AL41" s="11"/>
      <c r="AM41" s="11"/>
      <c r="AN41" s="11"/>
      <c r="AO41" s="11"/>
      <c r="AP41" s="11"/>
      <c r="AQ41" s="11"/>
      <c r="AR41" s="11"/>
      <c r="AS41" s="11"/>
      <c r="AT41" s="11"/>
      <c r="AU41" s="11"/>
      <c r="AV41" s="11"/>
    </row>
    <row r="42" spans="8:8" ht="12.0"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1"/>
      <c r="AA42" s="11"/>
      <c r="AB42" s="11"/>
      <c r="AC42" s="11"/>
      <c r="AD42" s="11"/>
      <c r="AE42" s="11"/>
      <c r="AF42" s="11"/>
      <c r="AG42" s="11"/>
      <c r="AH42" s="11"/>
      <c r="AI42" s="11"/>
      <c r="AJ42" s="11"/>
      <c r="AK42" s="11"/>
      <c r="AL42" s="11"/>
      <c r="AM42" s="11"/>
      <c r="AN42" s="11"/>
      <c r="AO42" s="11"/>
      <c r="AP42" s="11"/>
      <c r="AQ42" s="11"/>
      <c r="AR42" s="11"/>
      <c r="AS42" s="11"/>
      <c r="AT42" s="11"/>
      <c r="AU42" s="11"/>
      <c r="AV42" s="11"/>
    </row>
    <row r="43" spans="8:8" ht="12.0"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1"/>
      <c r="AA43" s="11"/>
      <c r="AB43" s="11"/>
      <c r="AC43" s="11"/>
      <c r="AD43" s="11"/>
      <c r="AE43" s="11"/>
      <c r="AF43" s="11"/>
      <c r="AG43" s="11"/>
      <c r="AH43" s="11"/>
      <c r="AI43" s="11"/>
      <c r="AJ43" s="11"/>
      <c r="AK43" s="11"/>
      <c r="AL43" s="11"/>
      <c r="AM43" s="11"/>
      <c r="AN43" s="11"/>
      <c r="AO43" s="11"/>
      <c r="AP43" s="11"/>
      <c r="AQ43" s="11"/>
      <c r="AR43" s="11"/>
      <c r="AS43" s="11"/>
      <c r="AT43" s="11"/>
      <c r="AU43" s="11"/>
      <c r="AV43" s="11"/>
    </row>
    <row r="44" spans="8:8" ht="12.0"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1"/>
      <c r="AA44" s="11"/>
      <c r="AB44" s="11"/>
      <c r="AC44" s="11"/>
      <c r="AD44" s="11"/>
      <c r="AE44" s="11"/>
      <c r="AF44" s="11"/>
      <c r="AG44" s="11"/>
      <c r="AH44" s="11"/>
      <c r="AI44" s="11"/>
      <c r="AJ44" s="11"/>
      <c r="AK44" s="11"/>
      <c r="AL44" s="11"/>
      <c r="AM44" s="11"/>
      <c r="AN44" s="11"/>
      <c r="AO44" s="11"/>
      <c r="AP44" s="11"/>
      <c r="AQ44" s="11"/>
      <c r="AR44" s="11"/>
      <c r="AS44" s="11"/>
      <c r="AT44" s="11"/>
      <c r="AU44" s="11"/>
      <c r="AV44" s="11"/>
    </row>
    <row r="45" spans="8:8" ht="12.0"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1"/>
      <c r="AA45" s="11"/>
      <c r="AB45" s="11"/>
      <c r="AC45" s="11"/>
      <c r="AD45" s="11"/>
      <c r="AE45" s="11"/>
      <c r="AF45" s="11"/>
      <c r="AG45" s="11"/>
      <c r="AH45" s="11"/>
      <c r="AI45" s="11"/>
      <c r="AJ45" s="11"/>
      <c r="AK45" s="11"/>
      <c r="AL45" s="11"/>
      <c r="AM45" s="11"/>
      <c r="AN45" s="11"/>
      <c r="AO45" s="11"/>
      <c r="AP45" s="11"/>
      <c r="AQ45" s="11"/>
      <c r="AR45" s="11"/>
      <c r="AS45" s="11"/>
      <c r="AT45" s="11"/>
      <c r="AU45" s="11"/>
      <c r="AV45" s="11"/>
    </row>
    <row r="46" spans="8:8" ht="12.0"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1"/>
      <c r="AA46" s="11"/>
      <c r="AB46" s="11"/>
      <c r="AC46" s="11"/>
      <c r="AD46" s="11"/>
      <c r="AE46" s="11"/>
      <c r="AF46" s="11"/>
      <c r="AG46" s="11"/>
      <c r="AH46" s="11"/>
      <c r="AI46" s="11"/>
      <c r="AJ46" s="11"/>
      <c r="AK46" s="11"/>
      <c r="AL46" s="11"/>
      <c r="AM46" s="11"/>
      <c r="AN46" s="11"/>
      <c r="AO46" s="11"/>
      <c r="AP46" s="11"/>
      <c r="AQ46" s="11"/>
      <c r="AR46" s="11"/>
      <c r="AS46" s="11"/>
      <c r="AT46" s="11"/>
      <c r="AU46" s="11"/>
      <c r="AV46" s="11"/>
    </row>
    <row r="47" spans="8:8" ht="12.0"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1"/>
      <c r="AA47" s="11"/>
      <c r="AB47" s="11"/>
      <c r="AC47" s="11"/>
      <c r="AD47" s="11"/>
      <c r="AE47" s="11"/>
      <c r="AF47" s="11"/>
      <c r="AG47" s="11"/>
      <c r="AH47" s="11"/>
      <c r="AI47" s="11"/>
      <c r="AJ47" s="11"/>
      <c r="AK47" s="11"/>
      <c r="AL47" s="11"/>
      <c r="AM47" s="11"/>
      <c r="AN47" s="11"/>
      <c r="AO47" s="11"/>
      <c r="AP47" s="11"/>
      <c r="AQ47" s="11"/>
      <c r="AR47" s="11"/>
      <c r="AS47" s="11"/>
      <c r="AT47" s="11"/>
      <c r="AU47" s="11"/>
      <c r="AV47" s="11"/>
    </row>
    <row r="48" spans="8:8" ht="12.0"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1"/>
      <c r="AA48" s="11"/>
      <c r="AB48" s="11"/>
      <c r="AC48" s="11"/>
      <c r="AD48" s="11"/>
      <c r="AE48" s="11"/>
      <c r="AF48" s="11"/>
      <c r="AG48" s="11"/>
      <c r="AH48" s="11"/>
      <c r="AI48" s="11"/>
      <c r="AJ48" s="11"/>
      <c r="AK48" s="11"/>
      <c r="AL48" s="11"/>
      <c r="AM48" s="11"/>
      <c r="AN48" s="11"/>
      <c r="AO48" s="11"/>
      <c r="AP48" s="11"/>
      <c r="AQ48" s="11"/>
      <c r="AR48" s="11"/>
      <c r="AS48" s="11"/>
      <c r="AT48" s="11"/>
      <c r="AU48" s="11"/>
      <c r="AV48" s="11"/>
    </row>
    <row r="49" spans="8:8" ht="12.0"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1"/>
      <c r="AA49" s="11"/>
      <c r="AB49" s="11"/>
      <c r="AC49" s="11"/>
      <c r="AD49" s="11"/>
      <c r="AE49" s="11"/>
      <c r="AF49" s="11"/>
      <c r="AG49" s="11"/>
      <c r="AH49" s="11"/>
      <c r="AI49" s="11"/>
      <c r="AJ49" s="11"/>
      <c r="AK49" s="11"/>
      <c r="AL49" s="11"/>
      <c r="AM49" s="11"/>
      <c r="AN49" s="11"/>
      <c r="AO49" s="11"/>
      <c r="AP49" s="11"/>
      <c r="AQ49" s="11"/>
      <c r="AR49" s="11"/>
      <c r="AS49" s="11"/>
      <c r="AT49" s="11"/>
      <c r="AU49" s="11"/>
      <c r="AV49" s="11"/>
    </row>
    <row r="50" spans="8:8" ht="12.0"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1"/>
      <c r="AA50" s="11"/>
      <c r="AB50" s="11"/>
      <c r="AC50" s="11"/>
      <c r="AD50" s="11"/>
      <c r="AE50" s="11"/>
      <c r="AF50" s="11"/>
      <c r="AG50" s="11"/>
      <c r="AH50" s="11"/>
      <c r="AI50" s="11"/>
      <c r="AJ50" s="11"/>
      <c r="AK50" s="11"/>
      <c r="AL50" s="11"/>
      <c r="AM50" s="11"/>
      <c r="AN50" s="11"/>
      <c r="AO50" s="11"/>
      <c r="AP50" s="11"/>
      <c r="AQ50" s="11"/>
      <c r="AR50" s="11"/>
      <c r="AS50" s="11"/>
      <c r="AT50" s="11"/>
      <c r="AU50" s="11"/>
      <c r="AV50" s="11"/>
    </row>
    <row r="51" spans="8:8" ht="12.0"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1"/>
      <c r="AA51" s="11"/>
      <c r="AB51" s="11"/>
      <c r="AC51" s="11"/>
      <c r="AD51" s="11"/>
      <c r="AE51" s="11"/>
      <c r="AF51" s="11"/>
      <c r="AG51" s="11"/>
      <c r="AH51" s="11"/>
      <c r="AI51" s="11"/>
      <c r="AJ51" s="11"/>
      <c r="AK51" s="11"/>
      <c r="AL51" s="11"/>
      <c r="AM51" s="11"/>
      <c r="AN51" s="11"/>
      <c r="AO51" s="11"/>
      <c r="AP51" s="11"/>
      <c r="AQ51" s="11"/>
      <c r="AR51" s="11"/>
      <c r="AS51" s="11"/>
      <c r="AT51" s="11"/>
      <c r="AU51" s="11"/>
      <c r="AV51" s="11"/>
    </row>
    <row r="52" spans="8:8" ht="12.0"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1"/>
      <c r="AA52" s="11"/>
      <c r="AB52" s="11"/>
      <c r="AC52" s="11"/>
      <c r="AD52" s="11"/>
      <c r="AE52" s="11"/>
      <c r="AF52" s="11"/>
      <c r="AG52" s="11"/>
      <c r="AH52" s="11"/>
      <c r="AI52" s="11"/>
      <c r="AJ52" s="11"/>
      <c r="AK52" s="11"/>
      <c r="AL52" s="11"/>
      <c r="AM52" s="11"/>
      <c r="AN52" s="11"/>
      <c r="AO52" s="11"/>
      <c r="AP52" s="11"/>
      <c r="AQ52" s="11"/>
      <c r="AR52" s="11"/>
      <c r="AS52" s="11"/>
      <c r="AT52" s="11"/>
      <c r="AU52" s="11"/>
      <c r="AV52" s="11"/>
    </row>
    <row r="53" spans="8:8" ht="12.0"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1"/>
      <c r="AA53" s="11"/>
      <c r="AB53" s="11"/>
      <c r="AC53" s="11"/>
      <c r="AD53" s="11"/>
      <c r="AE53" s="11"/>
      <c r="AF53" s="11"/>
      <c r="AG53" s="11"/>
      <c r="AH53" s="11"/>
      <c r="AI53" s="11"/>
      <c r="AJ53" s="11"/>
      <c r="AK53" s="11"/>
      <c r="AL53" s="11"/>
      <c r="AM53" s="11"/>
      <c r="AN53" s="11"/>
      <c r="AO53" s="11"/>
      <c r="AP53" s="11"/>
      <c r="AQ53" s="11"/>
      <c r="AR53" s="11"/>
      <c r="AS53" s="11"/>
      <c r="AT53" s="11"/>
      <c r="AU53" s="11"/>
      <c r="AV53" s="11"/>
    </row>
    <row r="54" spans="8:8" ht="12.0"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1"/>
      <c r="AA54" s="11"/>
      <c r="AB54" s="11"/>
      <c r="AC54" s="11"/>
      <c r="AD54" s="11"/>
      <c r="AE54" s="11"/>
      <c r="AF54" s="11"/>
      <c r="AG54" s="11"/>
      <c r="AH54" s="11"/>
      <c r="AI54" s="11"/>
      <c r="AJ54" s="11"/>
      <c r="AK54" s="11"/>
      <c r="AL54" s="11"/>
      <c r="AM54" s="11"/>
      <c r="AN54" s="11"/>
      <c r="AO54" s="11"/>
      <c r="AP54" s="11"/>
      <c r="AQ54" s="11"/>
      <c r="AR54" s="11"/>
      <c r="AS54" s="11"/>
      <c r="AT54" s="11"/>
      <c r="AU54" s="11"/>
      <c r="AV54" s="11"/>
    </row>
    <row r="55" spans="8:8" ht="12.0"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1"/>
      <c r="AA55" s="11"/>
      <c r="AB55" s="11"/>
      <c r="AC55" s="11"/>
      <c r="AD55" s="11"/>
      <c r="AE55" s="11"/>
      <c r="AF55" s="11"/>
      <c r="AG55" s="11"/>
      <c r="AH55" s="11"/>
      <c r="AI55" s="11"/>
      <c r="AJ55" s="11"/>
      <c r="AK55" s="11"/>
      <c r="AL55" s="11"/>
      <c r="AM55" s="11"/>
      <c r="AN55" s="11"/>
      <c r="AO55" s="11"/>
      <c r="AP55" s="11"/>
      <c r="AQ55" s="11"/>
      <c r="AR55" s="11"/>
      <c r="AS55" s="11"/>
      <c r="AT55" s="11"/>
      <c r="AU55" s="11"/>
      <c r="AV55" s="11"/>
    </row>
    <row r="56" spans="8:8" ht="12.0"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1"/>
      <c r="AA56" s="11"/>
      <c r="AB56" s="11"/>
      <c r="AC56" s="11"/>
      <c r="AD56" s="11"/>
      <c r="AE56" s="11"/>
      <c r="AF56" s="11"/>
      <c r="AG56" s="11"/>
      <c r="AH56" s="11"/>
      <c r="AI56" s="11"/>
      <c r="AJ56" s="11"/>
      <c r="AK56" s="11"/>
      <c r="AL56" s="11"/>
      <c r="AM56" s="11"/>
      <c r="AN56" s="11"/>
      <c r="AO56" s="11"/>
      <c r="AP56" s="11"/>
      <c r="AQ56" s="11"/>
      <c r="AR56" s="11"/>
      <c r="AS56" s="11"/>
      <c r="AT56" s="11"/>
      <c r="AU56" s="11"/>
      <c r="AV56" s="11"/>
    </row>
    <row r="57" spans="8:8" ht="12.0"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1"/>
      <c r="AA57" s="11"/>
      <c r="AB57" s="11"/>
      <c r="AC57" s="11"/>
      <c r="AD57" s="11"/>
      <c r="AE57" s="11"/>
      <c r="AF57" s="11"/>
      <c r="AG57" s="11"/>
      <c r="AH57" s="11"/>
      <c r="AI57" s="11"/>
      <c r="AJ57" s="11"/>
      <c r="AK57" s="11"/>
      <c r="AL57" s="11"/>
      <c r="AM57" s="11"/>
      <c r="AN57" s="11"/>
      <c r="AO57" s="11"/>
      <c r="AP57" s="11"/>
      <c r="AQ57" s="11"/>
      <c r="AR57" s="11"/>
      <c r="AS57" s="11"/>
      <c r="AT57" s="11"/>
      <c r="AU57" s="11"/>
      <c r="AV57" s="11"/>
    </row>
    <row r="58" spans="8:8" ht="12.0"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1"/>
      <c r="AA58" s="11"/>
      <c r="AB58" s="11"/>
      <c r="AC58" s="11"/>
      <c r="AD58" s="11"/>
      <c r="AE58" s="11"/>
      <c r="AF58" s="11"/>
      <c r="AG58" s="11"/>
      <c r="AH58" s="11"/>
      <c r="AI58" s="11"/>
      <c r="AJ58" s="11"/>
      <c r="AK58" s="11"/>
      <c r="AL58" s="11"/>
      <c r="AM58" s="11"/>
      <c r="AN58" s="11"/>
      <c r="AO58" s="11"/>
      <c r="AP58" s="11"/>
      <c r="AQ58" s="11"/>
      <c r="AR58" s="11"/>
      <c r="AS58" s="11"/>
      <c r="AT58" s="11"/>
      <c r="AU58" s="11"/>
      <c r="AV58" s="11"/>
    </row>
    <row r="59" spans="8:8" ht="12.0"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row>
    <row r="60" spans="8:8" ht="12.0"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row>
    <row r="61" spans="8:8" ht="12.0"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row>
    <row r="62" spans="8:8" ht="12.0"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row>
  </sheetData>
  <mergeCells count="1">
    <mergeCell ref="A1:Y58"/>
  </mergeCells>
  <pageMargins left="0.7" right="0.7" top="0.75" bottom="0.75" header="0.511811023622047" footer="0.511811023622047"/>
</worksheet>
</file>

<file path=xl/worksheets/sheet4.xml><?xml version="1.0" encoding="utf-8"?>
<worksheet xmlns:r="http://schemas.openxmlformats.org/officeDocument/2006/relationships" xmlns="http://schemas.openxmlformats.org/spreadsheetml/2006/main">
  <dimension ref="A1:EO37"/>
  <sheetViews>
    <sheetView workbookViewId="0" topLeftCell="E1" zoomScale="30">
      <selection activeCell="D49" sqref="D49"/>
    </sheetView>
  </sheetViews>
  <sheetFormatPr defaultRowHeight="13.0" defaultColWidth="10"/>
  <cols>
    <col min="1" max="1" customWidth="1" width="30.632812" style="12"/>
    <col min="2" max="2" customWidth="0" width="8.7265625" style="12"/>
    <col min="3" max="3" customWidth="1" width="71.0" style="12"/>
    <col min="4" max="4" customWidth="1" width="47.089844" style="12"/>
    <col min="5" max="5" customWidth="1" width="60.54297" style="12"/>
    <col min="6" max="6" customWidth="0" width="8.7265625" style="12"/>
    <col min="7" max="8" customWidth="1" width="25.179688" style="12"/>
    <col min="9" max="16384" customWidth="0" width="8.7265625" style="12"/>
  </cols>
  <sheetData>
    <row r="1" spans="8:8" ht="23.25" customHeight="1">
      <c r="A1" s="13" t="s">
        <v>12</v>
      </c>
      <c r="B1" s="14" t="s">
        <v>165</v>
      </c>
      <c r="C1" s="14"/>
      <c r="D1" s="15" t="s">
        <v>13</v>
      </c>
      <c r="E1" s="16" t="s">
        <v>180</v>
      </c>
    </row>
    <row r="2" spans="8:8" ht="23.25" customHeight="1">
      <c r="A2" s="13" t="s">
        <v>14</v>
      </c>
      <c r="B2" s="17" t="s">
        <v>166</v>
      </c>
      <c r="C2" s="14"/>
      <c r="D2" s="15" t="s">
        <v>15</v>
      </c>
      <c r="E2" s="18" t="s">
        <v>177</v>
      </c>
    </row>
    <row r="3" spans="8:8" ht="23.25" customHeight="1">
      <c r="A3" s="19" t="s">
        <v>16</v>
      </c>
      <c r="B3" s="14" t="s">
        <v>167</v>
      </c>
      <c r="C3" s="14"/>
      <c r="D3" s="15" t="s">
        <v>17</v>
      </c>
      <c r="E3" s="20" t="s">
        <v>178</v>
      </c>
    </row>
    <row r="4" spans="8:8" ht="23.25" customHeight="1">
      <c r="A4" s="15" t="s">
        <v>18</v>
      </c>
      <c r="B4" s="14" t="s">
        <v>169</v>
      </c>
      <c r="C4" s="14"/>
      <c r="D4" s="15" t="s">
        <v>19</v>
      </c>
      <c r="E4" s="21" t="s">
        <v>182</v>
      </c>
    </row>
    <row r="5" spans="8:8" ht="23.25" customHeight="1">
      <c r="A5" s="15" t="s">
        <v>20</v>
      </c>
      <c r="B5" s="14" t="s">
        <v>168</v>
      </c>
      <c r="C5" s="14"/>
      <c r="D5" s="15" t="s">
        <v>21</v>
      </c>
      <c r="E5" s="21" t="s">
        <v>181</v>
      </c>
    </row>
    <row r="6" spans="8:8" ht="23.25" customHeight="1">
      <c r="A6" s="15" t="s">
        <v>22</v>
      </c>
      <c r="B6" s="14" t="s">
        <v>170</v>
      </c>
      <c r="C6" s="14"/>
      <c r="D6" s="15" t="s">
        <v>23</v>
      </c>
      <c r="E6" s="22" t="s">
        <v>174</v>
      </c>
    </row>
    <row r="7" spans="8:8" ht="23.25" customHeight="1">
      <c r="A7" s="15" t="s">
        <v>24</v>
      </c>
      <c r="B7" s="14">
        <v>400021.0</v>
      </c>
      <c r="C7" s="14"/>
      <c r="D7" s="15" t="s">
        <v>25</v>
      </c>
      <c r="E7" s="23" t="s">
        <v>183</v>
      </c>
    </row>
    <row r="8" spans="8:8" ht="23.25" customHeight="1">
      <c r="A8" s="15" t="s">
        <v>26</v>
      </c>
      <c r="B8" s="14" t="s">
        <v>171</v>
      </c>
      <c r="C8" s="14"/>
      <c r="D8" s="15" t="s">
        <v>27</v>
      </c>
      <c r="E8" s="15" t="s">
        <v>185</v>
      </c>
    </row>
    <row r="9" spans="8:8" ht="23.25" customHeight="1">
      <c r="A9" s="15" t="s">
        <v>28</v>
      </c>
      <c r="B9" s="14" t="s">
        <v>235</v>
      </c>
      <c r="C9" s="14"/>
      <c r="D9" s="15" t="s">
        <v>29</v>
      </c>
      <c r="E9" s="15" t="s">
        <v>184</v>
      </c>
    </row>
    <row r="10" spans="8:8" ht="23.25" customHeight="1">
      <c r="A10" s="15" t="s">
        <v>30</v>
      </c>
      <c r="B10" s="17" t="s">
        <v>173</v>
      </c>
      <c r="C10" s="14"/>
      <c r="D10" s="15" t="s">
        <v>31</v>
      </c>
      <c r="E10" s="24" t="s">
        <v>186</v>
      </c>
    </row>
    <row r="11" spans="8:8" ht="23.25" customHeight="1">
      <c r="A11" s="15" t="s">
        <v>32</v>
      </c>
      <c r="B11" s="14" t="s">
        <v>175</v>
      </c>
      <c r="C11" s="14"/>
      <c r="D11" s="15" t="s">
        <v>33</v>
      </c>
      <c r="E11" s="25" t="s">
        <v>187</v>
      </c>
    </row>
    <row r="12" spans="8:8" ht="23.25" customHeight="1">
      <c r="A12" s="15"/>
      <c r="B12" s="14"/>
      <c r="C12" s="14"/>
      <c r="D12" s="15"/>
      <c r="E12" s="15"/>
    </row>
    <row r="13" spans="8:8" ht="23.25" customHeight="1">
      <c r="A13" s="26" t="s">
        <v>34</v>
      </c>
      <c r="B13" s="26"/>
      <c r="C13" s="26"/>
      <c r="D13" s="26"/>
      <c r="E13" s="26"/>
      <c r="G13" s="27" t="s">
        <v>35</v>
      </c>
      <c r="H13" s="27"/>
    </row>
    <row r="14" spans="8:8" ht="23.25" customHeight="1">
      <c r="A14" s="28" t="s">
        <v>36</v>
      </c>
      <c r="B14" s="29" t="s">
        <v>37</v>
      </c>
      <c r="C14" s="29" t="s">
        <v>38</v>
      </c>
      <c r="D14" s="29" t="s">
        <v>39</v>
      </c>
      <c r="E14" s="29" t="s">
        <v>40</v>
      </c>
      <c r="G14" s="3" t="s">
        <v>41</v>
      </c>
      <c r="H14" s="30">
        <f>COUNTA(C16:C36)-3</f>
        <v>18.0</v>
      </c>
    </row>
    <row r="15" spans="8:8" ht="23.25" customHeight="1">
      <c r="A15" s="31"/>
      <c r="B15" s="31"/>
      <c r="C15" s="32" t="s">
        <v>42</v>
      </c>
      <c r="D15" s="32"/>
      <c r="E15" s="32"/>
      <c r="G15" s="3" t="s">
        <v>43</v>
      </c>
      <c r="H15" s="30">
        <f>COUNTIF(D16:D36,"YES")+COUNTIF(D16:D36,"NO")</f>
        <v>19.0</v>
      </c>
    </row>
    <row r="16" spans="8:8" ht="23.25" customHeight="1">
      <c r="A16" s="33" t="s">
        <v>44</v>
      </c>
      <c r="B16" s="34">
        <v>1.0</v>
      </c>
      <c r="C16" s="35" t="s">
        <v>45</v>
      </c>
      <c r="D16" s="36" t="s">
        <v>163</v>
      </c>
      <c r="E16" s="35" t="s">
        <v>46</v>
      </c>
      <c r="G16" s="3" t="s">
        <v>47</v>
      </c>
      <c r="H16" s="30">
        <f>COUNTIF(D16:D36,"YES")</f>
        <v>10.0</v>
      </c>
    </row>
    <row r="17" spans="8:8" ht="23.25" customHeight="1">
      <c r="A17" s="33" t="s">
        <v>44</v>
      </c>
      <c r="B17" s="34">
        <v>2.0</v>
      </c>
      <c r="C17" s="35" t="s">
        <v>48</v>
      </c>
      <c r="D17" s="36" t="s">
        <v>163</v>
      </c>
      <c r="E17" s="35" t="s">
        <v>46</v>
      </c>
      <c r="G17" s="3" t="s">
        <v>4</v>
      </c>
      <c r="H17" s="30">
        <f>COUNTIF(D16:D36,"NO")</f>
        <v>9.0</v>
      </c>
    </row>
    <row r="18" spans="8:8" ht="23.25" customHeight="1">
      <c r="A18" s="33" t="s">
        <v>44</v>
      </c>
      <c r="B18" s="34">
        <v>3.0</v>
      </c>
      <c r="C18" s="35" t="s">
        <v>49</v>
      </c>
      <c r="D18" s="36" t="s">
        <v>163</v>
      </c>
      <c r="E18" s="35" t="s">
        <v>46</v>
      </c>
      <c r="G18" s="3" t="s">
        <v>50</v>
      </c>
      <c r="H18" s="30">
        <f>_xlfn.COUNTIFS(A16:A36,"HIGH",D16:D36,"YES")</f>
        <v>1.0</v>
      </c>
    </row>
    <row r="19" spans="8:8" ht="23.25" customHeight="1">
      <c r="A19" s="33" t="s">
        <v>44</v>
      </c>
      <c r="B19" s="34">
        <v>4.0</v>
      </c>
      <c r="C19" s="35" t="s">
        <v>51</v>
      </c>
      <c r="D19" s="36" t="s">
        <v>163</v>
      </c>
      <c r="E19" s="35" t="s">
        <v>46</v>
      </c>
      <c r="G19" s="3" t="s">
        <v>6</v>
      </c>
      <c r="H19" s="37">
        <f>IF(H15=0,0,H16/H15)</f>
        <v>0.5263157894736842</v>
      </c>
    </row>
    <row r="20" spans="8:8" ht="23.25" customHeight="1">
      <c r="A20" s="33" t="s">
        <v>44</v>
      </c>
      <c r="B20" s="34">
        <v>5.0</v>
      </c>
      <c r="C20" s="35" t="s">
        <v>52</v>
      </c>
      <c r="D20" s="36" t="s">
        <v>163</v>
      </c>
      <c r="E20" s="35" t="s">
        <v>46</v>
      </c>
    </row>
    <row r="21" spans="8:8" ht="23.25" customHeight="1">
      <c r="A21" s="33" t="s">
        <v>44</v>
      </c>
      <c r="B21" s="34">
        <v>6.0</v>
      </c>
      <c r="C21" s="35" t="s">
        <v>53</v>
      </c>
      <c r="D21" s="36" t="s">
        <v>188</v>
      </c>
      <c r="E21" s="35" t="s">
        <v>46</v>
      </c>
    </row>
    <row r="22" spans="8:8" ht="23.25" customHeight="1">
      <c r="A22" s="33" t="s">
        <v>44</v>
      </c>
      <c r="B22" s="34">
        <v>7.0</v>
      </c>
      <c r="C22" s="35" t="s">
        <v>54</v>
      </c>
      <c r="D22" s="36" t="s">
        <v>163</v>
      </c>
      <c r="E22" s="35" t="s">
        <v>46</v>
      </c>
    </row>
    <row r="23" spans="8:8" ht="23.25" customHeight="1">
      <c r="A23" s="33" t="s">
        <v>44</v>
      </c>
      <c r="B23" s="34">
        <v>8.0</v>
      </c>
      <c r="C23" s="35" t="s">
        <v>55</v>
      </c>
      <c r="D23" s="36" t="s">
        <v>163</v>
      </c>
      <c r="E23" s="35" t="s">
        <v>46</v>
      </c>
    </row>
    <row r="24" spans="8:8" ht="23.25" customHeight="1">
      <c r="A24" s="33" t="s">
        <v>44</v>
      </c>
      <c r="B24" s="34">
        <v>9.0</v>
      </c>
      <c r="C24" s="35" t="s">
        <v>56</v>
      </c>
      <c r="D24" s="36" t="s">
        <v>163</v>
      </c>
      <c r="E24" s="35" t="s">
        <v>46</v>
      </c>
    </row>
    <row r="25" spans="8:8" ht="23.25" customHeight="1">
      <c r="A25" s="38" t="s">
        <v>57</v>
      </c>
      <c r="B25" s="34">
        <v>10.0</v>
      </c>
      <c r="C25" s="35" t="s">
        <v>58</v>
      </c>
      <c r="D25" s="36" t="s">
        <v>163</v>
      </c>
      <c r="E25" s="35" t="s">
        <v>59</v>
      </c>
    </row>
    <row r="26" spans="8:8" ht="23.25" customHeight="1">
      <c r="A26" s="38" t="s">
        <v>57</v>
      </c>
      <c r="B26" s="34">
        <v>11.0</v>
      </c>
      <c r="C26" s="35" t="s">
        <v>60</v>
      </c>
      <c r="D26" s="36" t="s">
        <v>188</v>
      </c>
      <c r="E26" s="35" t="s">
        <v>59</v>
      </c>
    </row>
    <row r="27" spans="8:8" ht="23.25" customHeight="1">
      <c r="A27" s="38" t="s">
        <v>57</v>
      </c>
      <c r="B27" s="34">
        <v>12.0</v>
      </c>
      <c r="C27" s="35" t="s">
        <v>61</v>
      </c>
      <c r="D27" s="36" t="s">
        <v>188</v>
      </c>
      <c r="E27" s="35" t="s">
        <v>46</v>
      </c>
    </row>
    <row r="28" spans="8:8" ht="23.25" customHeight="1">
      <c r="A28" s="38" t="s">
        <v>57</v>
      </c>
      <c r="B28" s="34">
        <v>13.0</v>
      </c>
      <c r="C28" s="35" t="s">
        <v>62</v>
      </c>
      <c r="D28" s="36" t="s">
        <v>188</v>
      </c>
      <c r="E28" s="35" t="s">
        <v>63</v>
      </c>
    </row>
    <row r="29" spans="8:8" ht="23.25" customHeight="1">
      <c r="A29" s="39" t="s">
        <v>64</v>
      </c>
      <c r="B29" s="34">
        <v>14.0</v>
      </c>
      <c r="C29" s="35" t="s">
        <v>65</v>
      </c>
      <c r="D29" s="36" t="s">
        <v>163</v>
      </c>
      <c r="E29" s="40" t="s">
        <v>66</v>
      </c>
    </row>
    <row r="30" spans="8:8" ht="23.25" customHeight="1">
      <c r="A30" s="31"/>
      <c r="B30" s="31"/>
      <c r="C30" s="41" t="s">
        <v>67</v>
      </c>
      <c r="D30" s="41"/>
      <c r="E30" s="41"/>
    </row>
    <row r="31" spans="8:8" ht="23.25" customHeight="1">
      <c r="A31" s="33" t="s">
        <v>44</v>
      </c>
      <c r="B31" s="34">
        <v>15.0</v>
      </c>
      <c r="C31" s="35" t="s">
        <v>68</v>
      </c>
      <c r="D31" s="42" t="s">
        <v>188</v>
      </c>
      <c r="E31" s="35" t="s">
        <v>69</v>
      </c>
    </row>
    <row r="32" spans="8:8" ht="23.25" customHeight="1">
      <c r="A32" s="33" t="s">
        <v>44</v>
      </c>
      <c r="B32" s="34">
        <v>16.0</v>
      </c>
      <c r="C32" s="35" t="s">
        <v>70</v>
      </c>
      <c r="D32" s="42" t="s">
        <v>188</v>
      </c>
      <c r="E32" s="35" t="s">
        <v>71</v>
      </c>
    </row>
    <row r="33" spans="8:8" ht="23.25" customHeight="1">
      <c r="A33" s="31"/>
      <c r="B33" s="31"/>
      <c r="C33" s="41" t="s">
        <v>72</v>
      </c>
      <c r="D33" s="41"/>
      <c r="E33" s="41"/>
    </row>
    <row r="34" spans="8:8" ht="23.25" customHeight="1">
      <c r="A34" s="38" t="s">
        <v>57</v>
      </c>
      <c r="B34" s="34">
        <v>17.0</v>
      </c>
      <c r="C34" s="35" t="s">
        <v>73</v>
      </c>
      <c r="D34" s="42" t="s">
        <v>188</v>
      </c>
      <c r="E34" s="35" t="s">
        <v>74</v>
      </c>
    </row>
    <row r="35" spans="8:8" ht="23.25" customHeight="1">
      <c r="A35" s="38" t="s">
        <v>57</v>
      </c>
      <c r="B35" s="34">
        <v>18.0</v>
      </c>
      <c r="C35" s="35" t="s">
        <v>75</v>
      </c>
      <c r="D35" s="42" t="s">
        <v>188</v>
      </c>
      <c r="E35" s="40" t="s">
        <v>76</v>
      </c>
    </row>
    <row r="36" spans="8:8" ht="23.25" customHeight="1">
      <c r="A36" s="38" t="s">
        <v>57</v>
      </c>
      <c r="B36" s="34">
        <v>19.0</v>
      </c>
      <c r="C36" s="35" t="s">
        <v>77</v>
      </c>
      <c r="D36" s="42" t="s">
        <v>188</v>
      </c>
      <c r="E36" s="35" t="s">
        <v>74</v>
      </c>
    </row>
    <row r="37" spans="8:8" ht="23.25" customHeight="1">
      <c r="A37" s="39" t="s">
        <v>64</v>
      </c>
      <c r="B37" s="34">
        <v>20.0</v>
      </c>
      <c r="C37" s="35" t="s">
        <v>78</v>
      </c>
      <c r="D37" s="43" t="s">
        <v>228</v>
      </c>
      <c r="E37" s="35" t="s">
        <v>79</v>
      </c>
    </row>
  </sheetData>
  <mergeCells count="17">
    <mergeCell ref="C30:E30"/>
    <mergeCell ref="C33:E33"/>
    <mergeCell ref="C15:E15"/>
    <mergeCell ref="G13:H13"/>
    <mergeCell ref="B2:C2"/>
    <mergeCell ref="B1:C1"/>
    <mergeCell ref="B11:C11"/>
    <mergeCell ref="A13:E13"/>
    <mergeCell ref="B3:C3"/>
    <mergeCell ref="B12:C12"/>
    <mergeCell ref="B4:C4"/>
    <mergeCell ref="B7:C7"/>
    <mergeCell ref="B9:C9"/>
    <mergeCell ref="B8:C8"/>
    <mergeCell ref="B10:C10"/>
    <mergeCell ref="B5:C5"/>
    <mergeCell ref="B6:C6"/>
  </mergeCells>
  <conditionalFormatting sqref="H19">
    <cfRule type="cellIs" operator="greaterThanOrEqual" priority="4" dxfId="1">
      <formula>1</formula>
    </cfRule>
    <cfRule type="cellIs" operator="lessThan" priority="5" dxfId="2">
      <formula>1</formula>
    </cfRule>
  </conditionalFormatting>
  <conditionalFormatting sqref="D16:D36">
    <cfRule type="cellIs" operator="equal" priority="2" dxfId="3">
      <formula>"NO"</formula>
    </cfRule>
    <cfRule type="cellIs" operator="equal" priority="3" dxfId="4">
      <formula>"YES"</formula>
    </cfRule>
  </conditionalFormatting>
  <dataValidations count="3">
    <dataValidation allowBlank="1" type="list" errorStyle="stop" sqref="D16:D29">
      <formula1>"YES,NO"</formula1>
      <formula2>0</formula2>
    </dataValidation>
    <dataValidation allowBlank="1" type="list" errorStyle="stop" sqref="D31:D32">
      <formula1>"YES,NO"</formula1>
      <formula2>0</formula2>
    </dataValidation>
    <dataValidation allowBlank="1" type="list" errorStyle="stop" sqref="D34:D36">
      <formula1>"YES,NO"</formula1>
      <formula2>0</formula2>
    </dataValidation>
  </dataValidations>
  <hyperlinks>
    <hyperlink ref="B2" r:id="rId1"/>
    <hyperlink ref="B10" r:id="rId2"/>
    <hyperlink ref="E2" r:id="rId3"/>
    <hyperlink ref="E3" r:id="rId4"/>
    <hyperlink ref="E1" r:id="rId5"/>
    <hyperlink ref="E5" r:id="rId6"/>
    <hyperlink ref="E6" r:id="rId7"/>
    <hyperlink ref="E4" r:id="rId8"/>
  </hyperlinks>
  <pageMargins left="0.7" right="0.7" top="0.75" bottom="0.75" header="0.511811023622047" footer="0.511811023622047"/>
</worksheet>
</file>

<file path=xl/worksheets/sheet5.xml><?xml version="1.0" encoding="utf-8"?>
<worksheet xmlns:r="http://schemas.openxmlformats.org/officeDocument/2006/relationships" xmlns="http://schemas.openxmlformats.org/spreadsheetml/2006/main">
  <dimension ref="A1:EO37"/>
  <sheetViews>
    <sheetView workbookViewId="0" topLeftCell="D13" zoomScale="40">
      <selection activeCell="D37" sqref="D37"/>
    </sheetView>
  </sheetViews>
  <sheetFormatPr defaultRowHeight="13.0" defaultColWidth="10"/>
  <cols>
    <col min="1" max="1" customWidth="1" width="30.632812" style="12"/>
    <col min="2" max="2" customWidth="0" width="8.7265625" style="12"/>
    <col min="3" max="3" customWidth="1" width="71.0" style="12"/>
    <col min="4" max="4" customWidth="1" width="47.089844" style="12"/>
    <col min="5" max="5" customWidth="1" width="60.54297" style="12"/>
    <col min="6" max="16384" customWidth="0" width="8.7265625" style="12"/>
  </cols>
  <sheetData>
    <row r="1" spans="8:8" ht="23.25" customHeight="1">
      <c r="A1" s="13" t="s">
        <v>12</v>
      </c>
      <c r="B1" s="14" t="s">
        <v>190</v>
      </c>
      <c r="C1" s="14"/>
      <c r="D1" s="15" t="s">
        <v>13</v>
      </c>
      <c r="E1" s="16" t="s">
        <v>199</v>
      </c>
    </row>
    <row r="2" spans="8:8" ht="23.25" customHeight="1">
      <c r="A2" s="13" t="s">
        <v>14</v>
      </c>
      <c r="B2" s="44" t="s">
        <v>191</v>
      </c>
      <c r="C2" s="14"/>
      <c r="D2" s="15" t="s">
        <v>15</v>
      </c>
      <c r="E2" s="45" t="s">
        <v>200</v>
      </c>
    </row>
    <row r="3" spans="8:8" ht="23.25" customHeight="1">
      <c r="A3" s="19" t="s">
        <v>16</v>
      </c>
      <c r="B3" s="14" t="s">
        <v>189</v>
      </c>
      <c r="C3" s="14"/>
      <c r="D3" s="15" t="s">
        <v>17</v>
      </c>
      <c r="E3" s="45" t="s">
        <v>201</v>
      </c>
    </row>
    <row r="4" spans="8:8" ht="23.25" customHeight="1">
      <c r="A4" s="15" t="s">
        <v>18</v>
      </c>
      <c r="B4" s="14" t="s">
        <v>193</v>
      </c>
      <c r="C4" s="14"/>
      <c r="D4" s="15" t="s">
        <v>19</v>
      </c>
      <c r="E4" s="45" t="s">
        <v>231</v>
      </c>
    </row>
    <row r="5" spans="8:8" ht="23.25" customHeight="1">
      <c r="A5" s="15" t="s">
        <v>20</v>
      </c>
      <c r="B5" s="14" t="s">
        <v>192</v>
      </c>
      <c r="C5" s="14"/>
      <c r="D5" s="15" t="s">
        <v>21</v>
      </c>
      <c r="E5" s="46" t="s">
        <v>232</v>
      </c>
    </row>
    <row r="6" spans="8:8" ht="23.25" customHeight="1">
      <c r="A6" s="15" t="s">
        <v>22</v>
      </c>
      <c r="B6" s="14" t="s">
        <v>194</v>
      </c>
      <c r="C6" s="14"/>
      <c r="D6" s="15" t="s">
        <v>23</v>
      </c>
      <c r="E6" s="24" t="s">
        <v>174</v>
      </c>
    </row>
    <row r="7" spans="8:8" ht="23.25" customHeight="1">
      <c r="A7" s="15" t="s">
        <v>24</v>
      </c>
      <c r="B7" s="14">
        <v>122003.0</v>
      </c>
      <c r="C7" s="14"/>
      <c r="D7" s="15" t="s">
        <v>25</v>
      </c>
      <c r="E7" s="23" t="s">
        <v>204</v>
      </c>
    </row>
    <row r="8" spans="8:8" ht="23.25" customHeight="1">
      <c r="A8" s="15" t="s">
        <v>26</v>
      </c>
      <c r="B8" s="14" t="s">
        <v>195</v>
      </c>
      <c r="C8" s="14"/>
      <c r="D8" s="15" t="s">
        <v>27</v>
      </c>
      <c r="E8" s="47" t="s">
        <v>206</v>
      </c>
    </row>
    <row r="9" spans="8:8" ht="23.25" customHeight="1">
      <c r="A9" s="15" t="s">
        <v>28</v>
      </c>
      <c r="B9" s="14" t="s">
        <v>234</v>
      </c>
      <c r="C9" s="14"/>
      <c r="D9" s="15" t="s">
        <v>29</v>
      </c>
      <c r="E9" s="15" t="s">
        <v>207</v>
      </c>
    </row>
    <row r="10" spans="8:8" ht="23.25" customHeight="1">
      <c r="A10" s="15" t="s">
        <v>30</v>
      </c>
      <c r="B10" s="48" t="s">
        <v>197</v>
      </c>
      <c r="C10" s="14"/>
      <c r="D10" s="15" t="s">
        <v>31</v>
      </c>
      <c r="E10" s="24" t="s">
        <v>208</v>
      </c>
    </row>
    <row r="11" spans="8:8" ht="23.25" customHeight="1">
      <c r="A11" s="15" t="s">
        <v>32</v>
      </c>
      <c r="B11" s="14" t="s">
        <v>198</v>
      </c>
      <c r="C11" s="14"/>
      <c r="D11" s="15" t="s">
        <v>33</v>
      </c>
      <c r="E11" s="23">
        <v>2014.0</v>
      </c>
    </row>
    <row r="12" spans="8:8" ht="23.25" customHeight="1">
      <c r="A12" s="15"/>
      <c r="B12" s="14"/>
      <c r="C12" s="14"/>
      <c r="D12" s="15"/>
      <c r="E12" s="15"/>
    </row>
    <row r="13" spans="8:8" ht="23.25" customHeight="1">
      <c r="A13" s="26" t="s">
        <v>34</v>
      </c>
      <c r="B13" s="26"/>
      <c r="C13" s="26"/>
      <c r="D13" s="26"/>
      <c r="E13" s="26"/>
      <c r="G13" s="27" t="s">
        <v>35</v>
      </c>
      <c r="H13" s="27"/>
    </row>
    <row r="14" spans="8:8" ht="23.25" customHeight="1">
      <c r="A14" s="28" t="s">
        <v>36</v>
      </c>
      <c r="B14" s="29" t="s">
        <v>37</v>
      </c>
      <c r="C14" s="29" t="s">
        <v>38</v>
      </c>
      <c r="D14" s="29" t="s">
        <v>39</v>
      </c>
      <c r="E14" s="29" t="s">
        <v>40</v>
      </c>
      <c r="G14" s="3" t="s">
        <v>41</v>
      </c>
      <c r="H14" s="30">
        <f>COUNTA(C16:C36)-3</f>
        <v>18.0</v>
      </c>
    </row>
    <row r="15" spans="8:8" ht="23.25" customHeight="1">
      <c r="A15" s="31"/>
      <c r="B15" s="31"/>
      <c r="C15" s="32" t="s">
        <v>42</v>
      </c>
      <c r="D15" s="32"/>
      <c r="E15" s="32"/>
      <c r="G15" s="3" t="s">
        <v>43</v>
      </c>
      <c r="H15" s="30">
        <f>COUNTIF(D16:D36,"YES")+COUNTIF(D16:D36,"NO")</f>
        <v>19.0</v>
      </c>
    </row>
    <row r="16" spans="8:8" ht="23.25" customHeight="1">
      <c r="A16" s="33" t="s">
        <v>44</v>
      </c>
      <c r="B16" s="34">
        <v>1.0</v>
      </c>
      <c r="C16" s="35" t="s">
        <v>45</v>
      </c>
      <c r="D16" s="36" t="s">
        <v>163</v>
      </c>
      <c r="E16" s="35" t="s">
        <v>46</v>
      </c>
      <c r="G16" s="3" t="s">
        <v>47</v>
      </c>
      <c r="H16" s="30">
        <f>COUNTIF(D16:D36,"YES")</f>
        <v>10.0</v>
      </c>
    </row>
    <row r="17" spans="8:8" ht="23.25" customHeight="1">
      <c r="A17" s="33" t="s">
        <v>44</v>
      </c>
      <c r="B17" s="34">
        <v>2.0</v>
      </c>
      <c r="C17" s="35" t="s">
        <v>48</v>
      </c>
      <c r="D17" s="36" t="s">
        <v>163</v>
      </c>
      <c r="E17" s="35" t="s">
        <v>46</v>
      </c>
      <c r="G17" s="3" t="s">
        <v>4</v>
      </c>
      <c r="H17" s="30">
        <f>COUNTIF(D16:D36,"NO")</f>
        <v>9.0</v>
      </c>
    </row>
    <row r="18" spans="8:8" ht="23.25" customHeight="1">
      <c r="A18" s="33" t="s">
        <v>44</v>
      </c>
      <c r="B18" s="34">
        <v>3.0</v>
      </c>
      <c r="C18" s="35" t="s">
        <v>49</v>
      </c>
      <c r="D18" s="36" t="s">
        <v>163</v>
      </c>
      <c r="E18" s="35" t="s">
        <v>46</v>
      </c>
      <c r="G18" s="3" t="s">
        <v>50</v>
      </c>
      <c r="H18" s="30">
        <f>_xlfn.COUNTIFS(A16:A36,"HIGH",D16:D36,"YES")</f>
        <v>0.0</v>
      </c>
    </row>
    <row r="19" spans="8:8" ht="23.25" customHeight="1">
      <c r="A19" s="33" t="s">
        <v>44</v>
      </c>
      <c r="B19" s="34">
        <v>4.0</v>
      </c>
      <c r="C19" s="35" t="s">
        <v>51</v>
      </c>
      <c r="D19" s="36" t="s">
        <v>163</v>
      </c>
      <c r="E19" s="35" t="s">
        <v>46</v>
      </c>
      <c r="G19" s="3" t="s">
        <v>6</v>
      </c>
      <c r="H19" s="37">
        <f>IF(H15=0,0,H16/H15)</f>
        <v>0.5263157894736842</v>
      </c>
    </row>
    <row r="20" spans="8:8" ht="23.25" customHeight="1">
      <c r="A20" s="33" t="s">
        <v>44</v>
      </c>
      <c r="B20" s="34">
        <v>5.0</v>
      </c>
      <c r="C20" s="35" t="s">
        <v>52</v>
      </c>
      <c r="D20" s="36" t="s">
        <v>163</v>
      </c>
      <c r="E20" s="35" t="s">
        <v>46</v>
      </c>
    </row>
    <row r="21" spans="8:8" ht="23.25" customHeight="1">
      <c r="A21" s="33" t="s">
        <v>44</v>
      </c>
      <c r="B21" s="34">
        <v>6.0</v>
      </c>
      <c r="C21" s="35" t="s">
        <v>53</v>
      </c>
      <c r="D21" s="36" t="s">
        <v>163</v>
      </c>
      <c r="E21" s="35" t="s">
        <v>46</v>
      </c>
    </row>
    <row r="22" spans="8:8" ht="23.25" customHeight="1">
      <c r="A22" s="33" t="s">
        <v>44</v>
      </c>
      <c r="B22" s="34">
        <v>7.0</v>
      </c>
      <c r="C22" s="35" t="s">
        <v>54</v>
      </c>
      <c r="D22" s="36" t="s">
        <v>163</v>
      </c>
      <c r="E22" s="35" t="s">
        <v>46</v>
      </c>
    </row>
    <row r="23" spans="8:8" ht="23.25" customHeight="1">
      <c r="A23" s="33" t="s">
        <v>44</v>
      </c>
      <c r="B23" s="34">
        <v>8.0</v>
      </c>
      <c r="C23" s="35" t="s">
        <v>55</v>
      </c>
      <c r="D23" s="36" t="s">
        <v>163</v>
      </c>
      <c r="E23" s="35" t="s">
        <v>46</v>
      </c>
    </row>
    <row r="24" spans="8:8" ht="23.25" customHeight="1">
      <c r="A24" s="33" t="s">
        <v>44</v>
      </c>
      <c r="B24" s="34">
        <v>9.0</v>
      </c>
      <c r="C24" s="35" t="s">
        <v>56</v>
      </c>
      <c r="D24" s="36" t="s">
        <v>163</v>
      </c>
      <c r="E24" s="35" t="s">
        <v>46</v>
      </c>
    </row>
    <row r="25" spans="8:8" ht="23.25" customHeight="1">
      <c r="A25" s="38" t="s">
        <v>57</v>
      </c>
      <c r="B25" s="34">
        <v>10.0</v>
      </c>
      <c r="C25" s="35" t="s">
        <v>58</v>
      </c>
      <c r="D25" s="36" t="s">
        <v>163</v>
      </c>
      <c r="E25" s="35" t="s">
        <v>59</v>
      </c>
    </row>
    <row r="26" spans="8:8" ht="23.25" customHeight="1">
      <c r="A26" s="38" t="s">
        <v>57</v>
      </c>
      <c r="B26" s="34">
        <v>11.0</v>
      </c>
      <c r="C26" s="35" t="s">
        <v>60</v>
      </c>
      <c r="D26" s="36" t="s">
        <v>188</v>
      </c>
      <c r="E26" s="35" t="s">
        <v>59</v>
      </c>
    </row>
    <row r="27" spans="8:8" ht="23.25" customHeight="1">
      <c r="A27" s="38" t="s">
        <v>57</v>
      </c>
      <c r="B27" s="34">
        <v>12.0</v>
      </c>
      <c r="C27" s="35" t="s">
        <v>61</v>
      </c>
      <c r="D27" s="36" t="s">
        <v>188</v>
      </c>
      <c r="E27" s="35" t="s">
        <v>46</v>
      </c>
    </row>
    <row r="28" spans="8:8" ht="23.25" customHeight="1">
      <c r="A28" s="38" t="s">
        <v>57</v>
      </c>
      <c r="B28" s="34">
        <v>13.0</v>
      </c>
      <c r="C28" s="35" t="s">
        <v>62</v>
      </c>
      <c r="D28" s="36" t="s">
        <v>188</v>
      </c>
      <c r="E28" s="35" t="s">
        <v>63</v>
      </c>
    </row>
    <row r="29" spans="8:8" ht="23.25" customHeight="1">
      <c r="A29" s="39" t="s">
        <v>64</v>
      </c>
      <c r="B29" s="34">
        <v>14.0</v>
      </c>
      <c r="C29" s="35" t="s">
        <v>65</v>
      </c>
      <c r="D29" s="36" t="s">
        <v>188</v>
      </c>
      <c r="E29" s="40" t="s">
        <v>66</v>
      </c>
    </row>
    <row r="30" spans="8:8" ht="23.25" customHeight="1">
      <c r="A30" s="31"/>
      <c r="B30" s="31"/>
      <c r="C30" s="41" t="s">
        <v>67</v>
      </c>
      <c r="D30" s="41"/>
      <c r="E30" s="41"/>
    </row>
    <row r="31" spans="8:8" ht="23.25" customHeight="1">
      <c r="A31" s="33" t="s">
        <v>44</v>
      </c>
      <c r="B31" s="34">
        <v>15.0</v>
      </c>
      <c r="C31" s="35" t="s">
        <v>68</v>
      </c>
      <c r="D31" s="42" t="s">
        <v>188</v>
      </c>
      <c r="E31" s="35" t="s">
        <v>69</v>
      </c>
    </row>
    <row r="32" spans="8:8" ht="23.25" customHeight="1">
      <c r="A32" s="33" t="s">
        <v>44</v>
      </c>
      <c r="B32" s="34">
        <v>16.0</v>
      </c>
      <c r="C32" s="35" t="s">
        <v>70</v>
      </c>
      <c r="D32" s="42" t="s">
        <v>188</v>
      </c>
      <c r="E32" s="35" t="s">
        <v>71</v>
      </c>
    </row>
    <row r="33" spans="8:8" ht="23.25" customHeight="1">
      <c r="A33" s="31"/>
      <c r="B33" s="31"/>
      <c r="C33" s="41" t="s">
        <v>72</v>
      </c>
      <c r="D33" s="41"/>
      <c r="E33" s="41"/>
    </row>
    <row r="34" spans="8:8" ht="23.25" customHeight="1">
      <c r="A34" s="38" t="s">
        <v>57</v>
      </c>
      <c r="B34" s="34">
        <v>17.0</v>
      </c>
      <c r="C34" s="35" t="s">
        <v>73</v>
      </c>
      <c r="D34" s="42" t="s">
        <v>188</v>
      </c>
      <c r="E34" s="35" t="s">
        <v>74</v>
      </c>
    </row>
    <row r="35" spans="8:8" ht="23.25" customHeight="1">
      <c r="A35" s="38" t="s">
        <v>57</v>
      </c>
      <c r="B35" s="34">
        <v>18.0</v>
      </c>
      <c r="C35" s="35" t="s">
        <v>75</v>
      </c>
      <c r="D35" s="42" t="s">
        <v>188</v>
      </c>
      <c r="E35" s="40" t="s">
        <v>76</v>
      </c>
    </row>
    <row r="36" spans="8:8" ht="23.25" customHeight="1">
      <c r="A36" s="38" t="s">
        <v>57</v>
      </c>
      <c r="B36" s="34">
        <v>19.0</v>
      </c>
      <c r="C36" s="35" t="s">
        <v>77</v>
      </c>
      <c r="D36" s="42" t="s">
        <v>188</v>
      </c>
      <c r="E36" s="35" t="s">
        <v>74</v>
      </c>
    </row>
    <row r="37" spans="8:8" ht="23.25" customHeight="1">
      <c r="A37" s="39" t="s">
        <v>64</v>
      </c>
      <c r="B37" s="34">
        <v>20.0</v>
      </c>
      <c r="C37" s="35" t="s">
        <v>78</v>
      </c>
      <c r="D37" s="43" t="s">
        <v>228</v>
      </c>
      <c r="E37" s="35" t="s">
        <v>79</v>
      </c>
    </row>
  </sheetData>
  <mergeCells count="17">
    <mergeCell ref="C30:E30"/>
    <mergeCell ref="C33:E33"/>
    <mergeCell ref="C15:E15"/>
    <mergeCell ref="G13:H13"/>
    <mergeCell ref="B2:C2"/>
    <mergeCell ref="B1:C1"/>
    <mergeCell ref="B11:C11"/>
    <mergeCell ref="A13:E13"/>
    <mergeCell ref="B3:C3"/>
    <mergeCell ref="B12:C12"/>
    <mergeCell ref="B4:C4"/>
    <mergeCell ref="B7:C7"/>
    <mergeCell ref="B9:C9"/>
    <mergeCell ref="B8:C8"/>
    <mergeCell ref="B10:C10"/>
    <mergeCell ref="B5:C5"/>
    <mergeCell ref="B6:C6"/>
  </mergeCells>
  <conditionalFormatting sqref="H19">
    <cfRule type="cellIs" operator="lessThan" priority="5" dxfId="5">
      <formula>1</formula>
    </cfRule>
    <cfRule type="cellIs" operator="greaterThanOrEqual" priority="4" dxfId="6">
      <formula>1</formula>
    </cfRule>
  </conditionalFormatting>
  <conditionalFormatting sqref="D16:D36">
    <cfRule type="cellIs" operator="equal" priority="3" dxfId="7">
      <formula>"YES"</formula>
    </cfRule>
    <cfRule type="cellIs" operator="equal" priority="2" dxfId="8">
      <formula>"NO"</formula>
    </cfRule>
  </conditionalFormatting>
  <dataValidations count="3">
    <dataValidation allowBlank="1" type="list" errorStyle="stop" sqref="D16:D29">
      <formula1>"YES,NO"</formula1>
      <formula2>0</formula2>
    </dataValidation>
    <dataValidation allowBlank="1" type="list" errorStyle="stop" sqref="D31:D32">
      <formula1>"YES,NO"</formula1>
      <formula2>0</formula2>
    </dataValidation>
    <dataValidation allowBlank="1" type="list" errorStyle="stop" sqref="D34:D36">
      <formula1>"YES,NO"</formula1>
      <formula2>0</formula2>
    </dataValidation>
  </dataValidations>
  <hyperlinks>
    <hyperlink ref="B2" r:id="rId1"/>
    <hyperlink ref="B10" r:id="rId2"/>
    <hyperlink ref="E1" r:id="rId3"/>
    <hyperlink ref="E2" r:id="rId4"/>
    <hyperlink ref="E3" r:id="rId5"/>
    <hyperlink ref="E4" r:id="rId6"/>
    <hyperlink ref="E5" r:id="rId7"/>
  </hyperlinks>
  <pageMargins left="0.7" right="0.7" top="0.75" bottom="0.75" header="0.511811023622047" footer="0.511811023622047"/>
</worksheet>
</file>

<file path=xl/worksheets/sheet6.xml><?xml version="1.0" encoding="utf-8"?>
<worksheet xmlns:r="http://schemas.openxmlformats.org/officeDocument/2006/relationships" xmlns="http://schemas.openxmlformats.org/spreadsheetml/2006/main">
  <dimension ref="A1:EO37"/>
  <sheetViews>
    <sheetView workbookViewId="0" topLeftCell="C1" zoomScale="33">
      <selection activeCell="D37" sqref="D37"/>
    </sheetView>
  </sheetViews>
  <sheetFormatPr defaultRowHeight="13.0" defaultColWidth="10"/>
  <cols>
    <col min="1" max="1" customWidth="1" width="30.632812" style="12"/>
    <col min="2" max="2" customWidth="0" width="8.7265625" style="12"/>
    <col min="3" max="3" customWidth="1" width="71.0" style="12"/>
    <col min="4" max="4" customWidth="1" width="47.089844" style="12"/>
    <col min="5" max="5" customWidth="1" width="60.54297" style="12"/>
    <col min="6" max="16384" customWidth="0" width="8.7265625" style="12"/>
  </cols>
  <sheetData>
    <row r="1" spans="8:8" ht="23.25" customHeight="1">
      <c r="A1" s="13" t="s">
        <v>12</v>
      </c>
      <c r="B1" s="14" t="s">
        <v>209</v>
      </c>
      <c r="C1" s="14"/>
      <c r="D1" s="15" t="s">
        <v>13</v>
      </c>
      <c r="E1" s="16" t="s">
        <v>238</v>
      </c>
    </row>
    <row r="2" spans="8:8" ht="23.25" customHeight="1">
      <c r="A2" s="13" t="s">
        <v>14</v>
      </c>
      <c r="B2" s="44" t="s">
        <v>210</v>
      </c>
      <c r="C2" s="14"/>
      <c r="D2" s="15" t="s">
        <v>15</v>
      </c>
      <c r="E2" s="45" t="s">
        <v>174</v>
      </c>
    </row>
    <row r="3" spans="8:8" ht="23.25" customHeight="1">
      <c r="A3" s="19" t="s">
        <v>16</v>
      </c>
      <c r="B3" s="14" t="s">
        <v>211</v>
      </c>
      <c r="C3" s="14"/>
      <c r="D3" s="15" t="s">
        <v>17</v>
      </c>
      <c r="E3" s="45" t="s">
        <v>219</v>
      </c>
    </row>
    <row r="4" spans="8:8" ht="23.25" customHeight="1">
      <c r="A4" s="15" t="s">
        <v>18</v>
      </c>
      <c r="B4" s="14" t="s">
        <v>212</v>
      </c>
      <c r="C4" s="14"/>
      <c r="D4" s="15" t="s">
        <v>19</v>
      </c>
      <c r="E4" s="49" t="s">
        <v>236</v>
      </c>
    </row>
    <row r="5" spans="8:8" ht="23.25" customHeight="1">
      <c r="A5" s="15" t="s">
        <v>20</v>
      </c>
      <c r="B5" s="14" t="s">
        <v>192</v>
      </c>
      <c r="C5" s="14"/>
      <c r="D5" s="15" t="s">
        <v>21</v>
      </c>
      <c r="E5" s="50" t="s">
        <v>237</v>
      </c>
    </row>
    <row r="6" spans="8:8" ht="23.25" customHeight="1">
      <c r="A6" s="15" t="s">
        <v>22</v>
      </c>
      <c r="B6" s="14" t="s">
        <v>214</v>
      </c>
      <c r="C6" s="14"/>
      <c r="D6" s="15" t="s">
        <v>23</v>
      </c>
      <c r="E6" s="24" t="s">
        <v>174</v>
      </c>
    </row>
    <row r="7" spans="8:8" ht="23.25" customHeight="1">
      <c r="A7" s="15" t="s">
        <v>24</v>
      </c>
      <c r="B7" s="14">
        <v>110001.0</v>
      </c>
      <c r="C7" s="14"/>
      <c r="D7" s="15" t="s">
        <v>25</v>
      </c>
      <c r="E7" s="23" t="s">
        <v>222</v>
      </c>
    </row>
    <row r="8" spans="8:8" ht="23.25" customHeight="1">
      <c r="A8" s="15" t="s">
        <v>26</v>
      </c>
      <c r="B8" s="14" t="s">
        <v>215</v>
      </c>
      <c r="C8" s="14"/>
      <c r="D8" s="15" t="s">
        <v>27</v>
      </c>
      <c r="E8" s="15" t="s">
        <v>223</v>
      </c>
    </row>
    <row r="9" spans="8:8" ht="23.25" customHeight="1">
      <c r="A9" s="15" t="s">
        <v>28</v>
      </c>
      <c r="B9" s="14" t="s">
        <v>233</v>
      </c>
      <c r="C9" s="14"/>
      <c r="D9" s="15" t="s">
        <v>29</v>
      </c>
      <c r="E9" s="15" t="s">
        <v>224</v>
      </c>
    </row>
    <row r="10" spans="8:8" ht="23.25" customHeight="1">
      <c r="A10" s="15" t="s">
        <v>30</v>
      </c>
      <c r="B10" s="48" t="s">
        <v>216</v>
      </c>
      <c r="C10" s="14"/>
      <c r="D10" s="15" t="s">
        <v>31</v>
      </c>
      <c r="E10" s="24" t="s">
        <v>208</v>
      </c>
    </row>
    <row r="11" spans="8:8" ht="23.25" customHeight="1">
      <c r="A11" s="15" t="s">
        <v>32</v>
      </c>
      <c r="B11" s="14" t="s">
        <v>175</v>
      </c>
      <c r="C11" s="14"/>
      <c r="D11" s="15" t="s">
        <v>33</v>
      </c>
      <c r="E11" s="51" t="s">
        <v>239</v>
      </c>
    </row>
    <row r="12" spans="8:8" ht="23.25" customHeight="1">
      <c r="A12" s="15"/>
      <c r="B12" s="14"/>
      <c r="C12" s="14"/>
      <c r="D12" s="15"/>
      <c r="E12" s="15"/>
    </row>
    <row r="13" spans="8:8" ht="23.25" customHeight="1">
      <c r="A13" s="26" t="s">
        <v>34</v>
      </c>
      <c r="B13" s="26"/>
      <c r="C13" s="26"/>
      <c r="D13" s="26"/>
      <c r="E13" s="26"/>
      <c r="G13" s="27" t="s">
        <v>35</v>
      </c>
      <c r="H13" s="27"/>
    </row>
    <row r="14" spans="8:8" ht="23.25" customHeight="1">
      <c r="A14" s="28" t="s">
        <v>36</v>
      </c>
      <c r="B14" s="29" t="s">
        <v>37</v>
      </c>
      <c r="C14" s="29" t="s">
        <v>38</v>
      </c>
      <c r="D14" s="29" t="s">
        <v>39</v>
      </c>
      <c r="E14" s="29" t="s">
        <v>40</v>
      </c>
      <c r="G14" s="3" t="s">
        <v>41</v>
      </c>
      <c r="H14" s="30">
        <f>COUNTA(C16:C36)-3</f>
        <v>18.0</v>
      </c>
    </row>
    <row r="15" spans="8:8" ht="23.25" customHeight="1">
      <c r="A15" s="31"/>
      <c r="B15" s="31"/>
      <c r="C15" s="32" t="s">
        <v>42</v>
      </c>
      <c r="D15" s="32"/>
      <c r="E15" s="32"/>
      <c r="G15" s="3" t="s">
        <v>43</v>
      </c>
      <c r="H15" s="30">
        <f>COUNTIF(D16:D36,"YES")+COUNTIF(D16:D36,"NO")</f>
        <v>19.0</v>
      </c>
    </row>
    <row r="16" spans="8:8" ht="23.25" customHeight="1">
      <c r="A16" s="33" t="s">
        <v>44</v>
      </c>
      <c r="B16" s="34">
        <v>1.0</v>
      </c>
      <c r="C16" s="35" t="s">
        <v>45</v>
      </c>
      <c r="D16" s="36" t="s">
        <v>163</v>
      </c>
      <c r="E16" s="35" t="s">
        <v>46</v>
      </c>
      <c r="G16" s="3" t="s">
        <v>47</v>
      </c>
      <c r="H16" s="30">
        <f>COUNTIF(D16:D36,"YES")</f>
        <v>9.0</v>
      </c>
    </row>
    <row r="17" spans="8:8" ht="23.25" customHeight="1">
      <c r="A17" s="33" t="s">
        <v>44</v>
      </c>
      <c r="B17" s="34">
        <v>2.0</v>
      </c>
      <c r="C17" s="35" t="s">
        <v>48</v>
      </c>
      <c r="D17" s="36" t="s">
        <v>163</v>
      </c>
      <c r="E17" s="35" t="s">
        <v>46</v>
      </c>
      <c r="G17" s="3" t="s">
        <v>4</v>
      </c>
      <c r="H17" s="30">
        <f>COUNTIF(D16:D36,"NO")</f>
        <v>10.0</v>
      </c>
    </row>
    <row r="18" spans="8:8" ht="23.25" customHeight="1">
      <c r="A18" s="33" t="s">
        <v>44</v>
      </c>
      <c r="B18" s="34">
        <v>3.0</v>
      </c>
      <c r="C18" s="35" t="s">
        <v>49</v>
      </c>
      <c r="D18" s="36" t="s">
        <v>163</v>
      </c>
      <c r="E18" s="35" t="s">
        <v>46</v>
      </c>
      <c r="G18" s="3" t="s">
        <v>50</v>
      </c>
      <c r="H18" s="30">
        <f>_xlfn.COUNTIFS(A16:A36,"HIGH",D16:D36,"YES")</f>
        <v>1.0</v>
      </c>
    </row>
    <row r="19" spans="8:8" ht="23.25" customHeight="1">
      <c r="A19" s="33" t="s">
        <v>44</v>
      </c>
      <c r="B19" s="34">
        <v>4.0</v>
      </c>
      <c r="C19" s="35" t="s">
        <v>51</v>
      </c>
      <c r="D19" s="36" t="s">
        <v>163</v>
      </c>
      <c r="E19" s="35" t="s">
        <v>46</v>
      </c>
      <c r="G19" s="3" t="s">
        <v>6</v>
      </c>
      <c r="H19" s="37">
        <f>IF(H15=0,0,H16/H15)</f>
        <v>0.47368421052631576</v>
      </c>
    </row>
    <row r="20" spans="8:8" ht="23.25" customHeight="1">
      <c r="A20" s="33" t="s">
        <v>44</v>
      </c>
      <c r="B20" s="34">
        <v>5.0</v>
      </c>
      <c r="C20" s="35" t="s">
        <v>52</v>
      </c>
      <c r="D20" s="36" t="s">
        <v>163</v>
      </c>
      <c r="E20" s="35" t="s">
        <v>46</v>
      </c>
    </row>
    <row r="21" spans="8:8" ht="23.25" customHeight="1">
      <c r="A21" s="33" t="s">
        <v>44</v>
      </c>
      <c r="B21" s="34">
        <v>6.0</v>
      </c>
      <c r="C21" s="35" t="s">
        <v>53</v>
      </c>
      <c r="D21" s="36" t="s">
        <v>163</v>
      </c>
      <c r="E21" s="35" t="s">
        <v>46</v>
      </c>
    </row>
    <row r="22" spans="8:8" ht="23.25" customHeight="1">
      <c r="A22" s="33" t="s">
        <v>44</v>
      </c>
      <c r="B22" s="34">
        <v>7.0</v>
      </c>
      <c r="C22" s="35" t="s">
        <v>54</v>
      </c>
      <c r="D22" s="36" t="s">
        <v>163</v>
      </c>
      <c r="E22" s="35" t="s">
        <v>46</v>
      </c>
    </row>
    <row r="23" spans="8:8" ht="23.25" customHeight="1">
      <c r="A23" s="33" t="s">
        <v>44</v>
      </c>
      <c r="B23" s="34">
        <v>8.0</v>
      </c>
      <c r="C23" s="35" t="s">
        <v>55</v>
      </c>
      <c r="D23" s="36" t="s">
        <v>163</v>
      </c>
      <c r="E23" s="35" t="s">
        <v>46</v>
      </c>
    </row>
    <row r="24" spans="8:8" ht="23.25" customHeight="1">
      <c r="A24" s="33" t="s">
        <v>44</v>
      </c>
      <c r="B24" s="34">
        <v>9.0</v>
      </c>
      <c r="C24" s="35" t="s">
        <v>56</v>
      </c>
      <c r="D24" s="36" t="s">
        <v>188</v>
      </c>
      <c r="E24" s="35" t="s">
        <v>46</v>
      </c>
    </row>
    <row r="25" spans="8:8" ht="23.25" customHeight="1">
      <c r="A25" s="38" t="s">
        <v>57</v>
      </c>
      <c r="B25" s="34">
        <v>10.0</v>
      </c>
      <c r="C25" s="35" t="s">
        <v>58</v>
      </c>
      <c r="D25" s="36" t="s">
        <v>188</v>
      </c>
      <c r="E25" s="35" t="s">
        <v>59</v>
      </c>
    </row>
    <row r="26" spans="8:8" ht="23.25" customHeight="1">
      <c r="A26" s="38" t="s">
        <v>57</v>
      </c>
      <c r="B26" s="34">
        <v>11.0</v>
      </c>
      <c r="C26" s="35" t="s">
        <v>60</v>
      </c>
      <c r="D26" s="36" t="s">
        <v>188</v>
      </c>
      <c r="E26" s="35" t="s">
        <v>59</v>
      </c>
    </row>
    <row r="27" spans="8:8" ht="23.25" customHeight="1">
      <c r="A27" s="38" t="s">
        <v>57</v>
      </c>
      <c r="B27" s="34">
        <v>12.0</v>
      </c>
      <c r="C27" s="35" t="s">
        <v>61</v>
      </c>
      <c r="D27" s="36" t="s">
        <v>188</v>
      </c>
      <c r="E27" s="35" t="s">
        <v>46</v>
      </c>
    </row>
    <row r="28" spans="8:8" ht="23.25" customHeight="1">
      <c r="A28" s="38" t="s">
        <v>57</v>
      </c>
      <c r="B28" s="34">
        <v>13.0</v>
      </c>
      <c r="C28" s="35" t="s">
        <v>62</v>
      </c>
      <c r="D28" s="36" t="s">
        <v>188</v>
      </c>
      <c r="E28" s="35" t="s">
        <v>63</v>
      </c>
    </row>
    <row r="29" spans="8:8" ht="23.25" customHeight="1">
      <c r="A29" s="39" t="s">
        <v>64</v>
      </c>
      <c r="B29" s="34">
        <v>14.0</v>
      </c>
      <c r="C29" s="35" t="s">
        <v>65</v>
      </c>
      <c r="D29" s="36" t="s">
        <v>163</v>
      </c>
      <c r="E29" s="40" t="s">
        <v>66</v>
      </c>
    </row>
    <row r="30" spans="8:8" ht="23.25" customHeight="1">
      <c r="A30" s="31"/>
      <c r="B30" s="31"/>
      <c r="C30" s="41" t="s">
        <v>67</v>
      </c>
      <c r="D30" s="41"/>
      <c r="E30" s="41"/>
    </row>
    <row r="31" spans="8:8" ht="23.25" customHeight="1">
      <c r="A31" s="33" t="s">
        <v>44</v>
      </c>
      <c r="B31" s="34">
        <v>15.0</v>
      </c>
      <c r="C31" s="35" t="s">
        <v>68</v>
      </c>
      <c r="D31" s="42" t="s">
        <v>188</v>
      </c>
      <c r="E31" s="35" t="s">
        <v>69</v>
      </c>
    </row>
    <row r="32" spans="8:8" ht="23.25" customHeight="1">
      <c r="A32" s="33" t="s">
        <v>44</v>
      </c>
      <c r="B32" s="34">
        <v>16.0</v>
      </c>
      <c r="C32" s="35" t="s">
        <v>70</v>
      </c>
      <c r="D32" s="42" t="s">
        <v>188</v>
      </c>
      <c r="E32" s="35" t="s">
        <v>71</v>
      </c>
    </row>
    <row r="33" spans="8:8" ht="23.25" customHeight="1">
      <c r="A33" s="31"/>
      <c r="B33" s="31"/>
      <c r="C33" s="41" t="s">
        <v>72</v>
      </c>
      <c r="D33" s="41"/>
      <c r="E33" s="41"/>
    </row>
    <row r="34" spans="8:8" ht="23.25" customHeight="1">
      <c r="A34" s="38" t="s">
        <v>57</v>
      </c>
      <c r="B34" s="34">
        <v>17.0</v>
      </c>
      <c r="C34" s="35" t="s">
        <v>73</v>
      </c>
      <c r="D34" s="42" t="s">
        <v>188</v>
      </c>
      <c r="E34" s="52">
        <v>42887.0</v>
      </c>
    </row>
    <row r="35" spans="8:8" ht="23.25" customHeight="1">
      <c r="A35" s="38" t="s">
        <v>57</v>
      </c>
      <c r="B35" s="34">
        <v>18.0</v>
      </c>
      <c r="C35" s="35" t="s">
        <v>75</v>
      </c>
      <c r="D35" s="42" t="s">
        <v>188</v>
      </c>
      <c r="E35" s="40" t="s">
        <v>76</v>
      </c>
    </row>
    <row r="36" spans="8:8" ht="23.25" customHeight="1">
      <c r="A36" s="38" t="s">
        <v>57</v>
      </c>
      <c r="B36" s="34">
        <v>19.0</v>
      </c>
      <c r="C36" s="35" t="s">
        <v>77</v>
      </c>
      <c r="D36" s="42" t="s">
        <v>188</v>
      </c>
      <c r="E36" s="35" t="s">
        <v>74</v>
      </c>
    </row>
    <row r="37" spans="8:8" ht="23.25" customHeight="1">
      <c r="A37" s="39" t="s">
        <v>64</v>
      </c>
      <c r="B37" s="34">
        <v>20.0</v>
      </c>
      <c r="C37" s="35" t="s">
        <v>78</v>
      </c>
      <c r="D37" s="43" t="s">
        <v>228</v>
      </c>
      <c r="E37" s="35" t="s">
        <v>79</v>
      </c>
    </row>
  </sheetData>
  <mergeCells count="17">
    <mergeCell ref="C30:E30"/>
    <mergeCell ref="C33:E33"/>
    <mergeCell ref="C15:E15"/>
    <mergeCell ref="G13:H13"/>
    <mergeCell ref="B2:C2"/>
    <mergeCell ref="B1:C1"/>
    <mergeCell ref="B11:C11"/>
    <mergeCell ref="A13:E13"/>
    <mergeCell ref="B3:C3"/>
    <mergeCell ref="B12:C12"/>
    <mergeCell ref="B4:C4"/>
    <mergeCell ref="B7:C7"/>
    <mergeCell ref="B9:C9"/>
    <mergeCell ref="B8:C8"/>
    <mergeCell ref="B10:C10"/>
    <mergeCell ref="B5:C5"/>
    <mergeCell ref="B6:C6"/>
  </mergeCells>
  <conditionalFormatting sqref="D16:D36">
    <cfRule type="cellIs" operator="equal" priority="3" dxfId="9">
      <formula>"YES"</formula>
    </cfRule>
    <cfRule type="cellIs" operator="equal" priority="2" dxfId="10">
      <formula>"NO"</formula>
    </cfRule>
  </conditionalFormatting>
  <conditionalFormatting sqref="H19">
    <cfRule type="cellIs" operator="greaterThanOrEqual" priority="4" dxfId="11">
      <formula>1</formula>
    </cfRule>
    <cfRule type="cellIs" operator="lessThan" priority="5" dxfId="12">
      <formula>1</formula>
    </cfRule>
  </conditionalFormatting>
  <dataValidations count="3">
    <dataValidation allowBlank="1" type="list" errorStyle="stop" sqref="D16:D29">
      <formula1>"YES,NO"</formula1>
      <formula2>0</formula2>
    </dataValidation>
    <dataValidation allowBlank="1" type="list" errorStyle="stop" sqref="D31:D32">
      <formula1>"YES,NO"</formula1>
      <formula2>0</formula2>
    </dataValidation>
    <dataValidation allowBlank="1" type="list" errorStyle="stop" sqref="D34:D36">
      <formula1>"YES,NO"</formula1>
      <formula2>0</formula2>
    </dataValidation>
  </dataValidations>
  <hyperlinks>
    <hyperlink ref="B2" r:id="rId1"/>
    <hyperlink ref="B10" r:id="rId2"/>
    <hyperlink ref="E2" r:id="rId3"/>
    <hyperlink ref="E3" r:id="rId4"/>
    <hyperlink ref="E4" r:id="rId5"/>
    <hyperlink ref="E5" r:id="rId6"/>
    <hyperlink ref="E1" r:id="rId7"/>
  </hyperlinks>
  <pageMargins left="0.7" right="0.7" top="0.75" bottom="0.75" header="0.511811023622047" footer="0.511811023622047"/>
</worksheet>
</file>

<file path=xl/worksheets/sheet7.xml><?xml version="1.0" encoding="utf-8"?>
<worksheet xmlns:r="http://schemas.openxmlformats.org/officeDocument/2006/relationships" xmlns="http://schemas.openxmlformats.org/spreadsheetml/2006/main">
  <dimension ref="A1:GC62"/>
  <sheetViews>
    <sheetView workbookViewId="0" topLeftCell="E7" zoomScale="30">
      <selection activeCell="A1" sqref="A1:Y58"/>
    </sheetView>
  </sheetViews>
  <sheetFormatPr defaultRowHeight="12.5" defaultColWidth="10"/>
  <sheetData>
    <row r="1" spans="8:8" ht="12.0" customHeight="1">
      <c r="A1" s="10" t="s">
        <v>159</v>
      </c>
      <c r="B1" s="10"/>
      <c r="C1" s="10"/>
      <c r="D1" s="10"/>
      <c r="E1" s="10"/>
      <c r="F1" s="10"/>
      <c r="G1" s="10"/>
      <c r="H1" s="10"/>
      <c r="I1" s="10"/>
      <c r="J1" s="10"/>
      <c r="K1" s="10"/>
      <c r="L1" s="10"/>
      <c r="M1" s="10"/>
      <c r="N1" s="10"/>
      <c r="O1" s="10"/>
      <c r="P1" s="10"/>
      <c r="Q1" s="10"/>
      <c r="R1" s="10"/>
      <c r="S1" s="10"/>
      <c r="T1" s="10"/>
      <c r="U1" s="10"/>
      <c r="V1" s="10"/>
      <c r="W1" s="10"/>
      <c r="X1" s="10"/>
      <c r="Y1" s="10"/>
      <c r="Z1" s="11"/>
      <c r="AA1" s="11"/>
      <c r="AB1" s="11"/>
      <c r="AC1" s="11"/>
      <c r="AD1" s="11"/>
      <c r="AE1" s="11"/>
      <c r="AF1" s="11"/>
      <c r="AG1" s="11"/>
      <c r="AH1" s="11"/>
      <c r="AI1" s="11"/>
      <c r="AJ1" s="11"/>
      <c r="AK1" s="11"/>
      <c r="AL1" s="11"/>
      <c r="AM1" s="11"/>
      <c r="AN1" s="11"/>
      <c r="AO1" s="11"/>
      <c r="AP1" s="11"/>
      <c r="AQ1" s="11"/>
      <c r="AR1" s="11"/>
      <c r="AS1" s="11"/>
      <c r="AT1" s="11"/>
      <c r="AU1" s="11"/>
      <c r="AV1" s="11"/>
    </row>
    <row r="2" spans="8:8" ht="12.0" customHeight="1">
      <c r="A2" s="10"/>
      <c r="B2" s="10"/>
      <c r="C2" s="10"/>
      <c r="D2" s="10"/>
      <c r="E2" s="10"/>
      <c r="F2" s="10"/>
      <c r="G2" s="10"/>
      <c r="H2" s="10"/>
      <c r="I2" s="10"/>
      <c r="J2" s="10"/>
      <c r="K2" s="10"/>
      <c r="L2" s="10"/>
      <c r="M2" s="10"/>
      <c r="N2" s="10"/>
      <c r="O2" s="10"/>
      <c r="P2" s="10"/>
      <c r="Q2" s="10"/>
      <c r="R2" s="10"/>
      <c r="S2" s="10"/>
      <c r="T2" s="10"/>
      <c r="U2" s="10"/>
      <c r="V2" s="10"/>
      <c r="W2" s="10"/>
      <c r="X2" s="10"/>
      <c r="Y2" s="10"/>
      <c r="Z2" s="11"/>
      <c r="AA2" s="11"/>
      <c r="AB2" s="11"/>
      <c r="AC2" s="11"/>
      <c r="AD2" s="11"/>
      <c r="AE2" s="11"/>
      <c r="AF2" s="11"/>
      <c r="AG2" s="11"/>
      <c r="AH2" s="11"/>
      <c r="AI2" s="11"/>
      <c r="AJ2" s="11"/>
      <c r="AK2" s="11"/>
      <c r="AL2" s="11"/>
      <c r="AM2" s="11"/>
      <c r="AN2" s="11"/>
      <c r="AO2" s="11"/>
      <c r="AP2" s="11"/>
      <c r="AQ2" s="11"/>
      <c r="AR2" s="11"/>
      <c r="AS2" s="11"/>
      <c r="AT2" s="11"/>
      <c r="AU2" s="11"/>
      <c r="AV2" s="11"/>
    </row>
    <row r="3" spans="8:8" ht="12.0" customHeight="1">
      <c r="A3" s="10"/>
      <c r="B3" s="10"/>
      <c r="C3" s="10"/>
      <c r="D3" s="10"/>
      <c r="E3" s="10"/>
      <c r="F3" s="10"/>
      <c r="G3" s="10"/>
      <c r="H3" s="10"/>
      <c r="I3" s="10"/>
      <c r="J3" s="10"/>
      <c r="K3" s="10"/>
      <c r="L3" s="10"/>
      <c r="M3" s="10"/>
      <c r="N3" s="10"/>
      <c r="O3" s="10"/>
      <c r="P3" s="10"/>
      <c r="Q3" s="10"/>
      <c r="R3" s="10"/>
      <c r="S3" s="10"/>
      <c r="T3" s="10"/>
      <c r="U3" s="10"/>
      <c r="V3" s="10"/>
      <c r="W3" s="10"/>
      <c r="X3" s="10"/>
      <c r="Y3" s="10"/>
      <c r="Z3" s="11"/>
      <c r="AA3" s="11"/>
      <c r="AB3" s="11"/>
      <c r="AC3" s="11"/>
      <c r="AD3" s="11"/>
      <c r="AE3" s="11"/>
      <c r="AF3" s="11"/>
      <c r="AG3" s="11"/>
      <c r="AH3" s="11"/>
      <c r="AI3" s="11"/>
      <c r="AJ3" s="11"/>
      <c r="AK3" s="11"/>
      <c r="AL3" s="11"/>
      <c r="AM3" s="11"/>
      <c r="AN3" s="11"/>
      <c r="AO3" s="11"/>
      <c r="AP3" s="11"/>
      <c r="AQ3" s="11"/>
      <c r="AR3" s="11"/>
      <c r="AS3" s="11"/>
      <c r="AT3" s="11"/>
      <c r="AU3" s="11"/>
      <c r="AV3" s="11"/>
    </row>
    <row r="4" spans="8:8" ht="12.0" customHeight="1">
      <c r="A4" s="10"/>
      <c r="B4" s="10"/>
      <c r="C4" s="10"/>
      <c r="D4" s="10"/>
      <c r="E4" s="10"/>
      <c r="F4" s="10"/>
      <c r="G4" s="10"/>
      <c r="H4" s="10"/>
      <c r="I4" s="10"/>
      <c r="J4" s="10"/>
      <c r="K4" s="10"/>
      <c r="L4" s="10"/>
      <c r="M4" s="10"/>
      <c r="N4" s="10"/>
      <c r="O4" s="10"/>
      <c r="P4" s="10"/>
      <c r="Q4" s="10"/>
      <c r="R4" s="10"/>
      <c r="S4" s="10"/>
      <c r="T4" s="10"/>
      <c r="U4" s="10"/>
      <c r="V4" s="10"/>
      <c r="W4" s="10"/>
      <c r="X4" s="10"/>
      <c r="Y4" s="10"/>
      <c r="Z4" s="11"/>
      <c r="AA4" s="11"/>
      <c r="AB4" s="11"/>
      <c r="AC4" s="11"/>
      <c r="AD4" s="11"/>
      <c r="AE4" s="11"/>
      <c r="AF4" s="11"/>
      <c r="AG4" s="11"/>
      <c r="AH4" s="11"/>
      <c r="AI4" s="11"/>
      <c r="AJ4" s="11"/>
      <c r="AK4" s="11"/>
      <c r="AL4" s="11"/>
      <c r="AM4" s="11"/>
      <c r="AN4" s="11"/>
      <c r="AO4" s="11"/>
      <c r="AP4" s="11"/>
      <c r="AQ4" s="11"/>
      <c r="AR4" s="11"/>
      <c r="AS4" s="11"/>
      <c r="AT4" s="11"/>
      <c r="AU4" s="11"/>
      <c r="AV4" s="11"/>
    </row>
    <row r="5" spans="8:8" ht="12.0" customHeight="1">
      <c r="A5" s="10"/>
      <c r="B5" s="10"/>
      <c r="C5" s="10"/>
      <c r="D5" s="10"/>
      <c r="E5" s="10"/>
      <c r="F5" s="10"/>
      <c r="G5" s="10"/>
      <c r="H5" s="10"/>
      <c r="I5" s="10"/>
      <c r="J5" s="10"/>
      <c r="K5" s="10"/>
      <c r="L5" s="10"/>
      <c r="M5" s="10"/>
      <c r="N5" s="10"/>
      <c r="O5" s="10"/>
      <c r="P5" s="10"/>
      <c r="Q5" s="10"/>
      <c r="R5" s="10"/>
      <c r="S5" s="10"/>
      <c r="T5" s="10"/>
      <c r="U5" s="10"/>
      <c r="V5" s="10"/>
      <c r="W5" s="10"/>
      <c r="X5" s="10"/>
      <c r="Y5" s="10"/>
      <c r="Z5" s="11"/>
      <c r="AA5" s="11"/>
      <c r="AB5" s="11"/>
      <c r="AC5" s="11"/>
      <c r="AD5" s="11"/>
      <c r="AE5" s="11"/>
      <c r="AF5" s="11"/>
      <c r="AG5" s="11"/>
      <c r="AH5" s="11"/>
      <c r="AI5" s="11"/>
      <c r="AJ5" s="11"/>
      <c r="AK5" s="11"/>
      <c r="AL5" s="11"/>
      <c r="AM5" s="11"/>
      <c r="AN5" s="11"/>
      <c r="AO5" s="11"/>
      <c r="AP5" s="11"/>
      <c r="AQ5" s="11"/>
      <c r="AR5" s="11"/>
      <c r="AS5" s="11"/>
      <c r="AT5" s="11"/>
      <c r="AU5" s="11"/>
      <c r="AV5" s="11"/>
    </row>
    <row r="6" spans="8:8" ht="12.0" customHeight="1">
      <c r="A6" s="10"/>
      <c r="B6" s="10"/>
      <c r="C6" s="10"/>
      <c r="D6" s="10"/>
      <c r="E6" s="10"/>
      <c r="F6" s="10"/>
      <c r="G6" s="10"/>
      <c r="H6" s="10"/>
      <c r="I6" s="10"/>
      <c r="J6" s="10"/>
      <c r="K6" s="10"/>
      <c r="L6" s="10"/>
      <c r="M6" s="10"/>
      <c r="N6" s="10"/>
      <c r="O6" s="10"/>
      <c r="P6" s="10"/>
      <c r="Q6" s="10"/>
      <c r="R6" s="10"/>
      <c r="S6" s="10"/>
      <c r="T6" s="10"/>
      <c r="U6" s="10"/>
      <c r="V6" s="10"/>
      <c r="W6" s="10"/>
      <c r="X6" s="10"/>
      <c r="Y6" s="10"/>
      <c r="Z6" s="11"/>
      <c r="AA6" s="11"/>
      <c r="AB6" s="11"/>
      <c r="AC6" s="11"/>
      <c r="AD6" s="11"/>
      <c r="AE6" s="11"/>
      <c r="AF6" s="11"/>
      <c r="AG6" s="11"/>
      <c r="AH6" s="11"/>
      <c r="AI6" s="11"/>
      <c r="AJ6" s="11"/>
      <c r="AK6" s="11"/>
      <c r="AL6" s="11"/>
      <c r="AM6" s="11"/>
      <c r="AN6" s="11"/>
      <c r="AO6" s="11"/>
      <c r="AP6" s="11"/>
      <c r="AQ6" s="11"/>
      <c r="AR6" s="11"/>
      <c r="AS6" s="11"/>
      <c r="AT6" s="11"/>
      <c r="AU6" s="11"/>
      <c r="AV6" s="11"/>
    </row>
    <row r="7" spans="8:8" ht="12.0" customHeight="1">
      <c r="A7" s="10"/>
      <c r="B7" s="10"/>
      <c r="C7" s="10"/>
      <c r="D7" s="10"/>
      <c r="E7" s="10"/>
      <c r="F7" s="10"/>
      <c r="G7" s="10"/>
      <c r="H7" s="10"/>
      <c r="I7" s="10"/>
      <c r="J7" s="10"/>
      <c r="K7" s="10"/>
      <c r="L7" s="10"/>
      <c r="M7" s="10"/>
      <c r="N7" s="10"/>
      <c r="O7" s="10"/>
      <c r="P7" s="10"/>
      <c r="Q7" s="10"/>
      <c r="R7" s="10"/>
      <c r="S7" s="10"/>
      <c r="T7" s="10"/>
      <c r="U7" s="10"/>
      <c r="V7" s="10"/>
      <c r="W7" s="10"/>
      <c r="X7" s="10"/>
      <c r="Y7" s="10"/>
      <c r="Z7" s="11"/>
      <c r="AA7" s="11"/>
      <c r="AB7" s="11"/>
      <c r="AC7" s="11"/>
      <c r="AD7" s="11"/>
      <c r="AE7" s="11"/>
      <c r="AF7" s="11"/>
      <c r="AG7" s="11"/>
      <c r="AH7" s="11"/>
      <c r="AI7" s="11"/>
      <c r="AJ7" s="11"/>
      <c r="AK7" s="11"/>
      <c r="AL7" s="11"/>
      <c r="AM7" s="11"/>
      <c r="AN7" s="11"/>
      <c r="AO7" s="11"/>
      <c r="AP7" s="11"/>
      <c r="AQ7" s="11"/>
      <c r="AR7" s="11"/>
      <c r="AS7" s="11"/>
      <c r="AT7" s="11"/>
      <c r="AU7" s="11"/>
      <c r="AV7" s="11"/>
    </row>
    <row r="8" spans="8:8" ht="12.0" customHeight="1">
      <c r="A8" s="10"/>
      <c r="B8" s="10"/>
      <c r="C8" s="10"/>
      <c r="D8" s="10"/>
      <c r="E8" s="10"/>
      <c r="F8" s="10"/>
      <c r="G8" s="10"/>
      <c r="H8" s="10"/>
      <c r="I8" s="10"/>
      <c r="J8" s="10"/>
      <c r="K8" s="10"/>
      <c r="L8" s="10"/>
      <c r="M8" s="10"/>
      <c r="N8" s="10"/>
      <c r="O8" s="10"/>
      <c r="P8" s="10"/>
      <c r="Q8" s="10"/>
      <c r="R8" s="10"/>
      <c r="S8" s="10"/>
      <c r="T8" s="10"/>
      <c r="U8" s="10"/>
      <c r="V8" s="10"/>
      <c r="W8" s="10"/>
      <c r="X8" s="10"/>
      <c r="Y8" s="10"/>
      <c r="Z8" s="11"/>
      <c r="AA8" s="11"/>
      <c r="AB8" s="11"/>
      <c r="AC8" s="11"/>
      <c r="AD8" s="11"/>
      <c r="AE8" s="11"/>
      <c r="AF8" s="11"/>
      <c r="AG8" s="11"/>
      <c r="AH8" s="11"/>
      <c r="AI8" s="11"/>
      <c r="AJ8" s="11"/>
      <c r="AK8" s="11"/>
      <c r="AL8" s="11"/>
      <c r="AM8" s="11"/>
      <c r="AN8" s="11"/>
      <c r="AO8" s="11"/>
      <c r="AP8" s="11"/>
      <c r="AQ8" s="11"/>
      <c r="AR8" s="11"/>
      <c r="AS8" s="11"/>
      <c r="AT8" s="11"/>
      <c r="AU8" s="11"/>
      <c r="AV8" s="11"/>
    </row>
    <row r="9" spans="8:8" ht="12.0" customHeight="1">
      <c r="A9" s="10"/>
      <c r="B9" s="10"/>
      <c r="C9" s="10"/>
      <c r="D9" s="10"/>
      <c r="E9" s="10"/>
      <c r="F9" s="10"/>
      <c r="G9" s="10"/>
      <c r="H9" s="10"/>
      <c r="I9" s="10"/>
      <c r="J9" s="10"/>
      <c r="K9" s="10"/>
      <c r="L9" s="10"/>
      <c r="M9" s="10"/>
      <c r="N9" s="10"/>
      <c r="O9" s="10"/>
      <c r="P9" s="10"/>
      <c r="Q9" s="10"/>
      <c r="R9" s="10"/>
      <c r="S9" s="10"/>
      <c r="T9" s="10"/>
      <c r="U9" s="10"/>
      <c r="V9" s="10"/>
      <c r="W9" s="10"/>
      <c r="X9" s="10"/>
      <c r="Y9" s="10"/>
      <c r="Z9" s="11"/>
      <c r="AA9" s="11"/>
      <c r="AB9" s="11"/>
      <c r="AC9" s="11"/>
      <c r="AD9" s="11"/>
      <c r="AE9" s="11"/>
      <c r="AF9" s="11"/>
      <c r="AG9" s="11"/>
      <c r="AH9" s="11"/>
      <c r="AI9" s="11"/>
      <c r="AJ9" s="11"/>
      <c r="AK9" s="11"/>
      <c r="AL9" s="11"/>
      <c r="AM9" s="11"/>
      <c r="AN9" s="11"/>
      <c r="AO9" s="11"/>
      <c r="AP9" s="11"/>
      <c r="AQ9" s="11"/>
      <c r="AR9" s="11"/>
      <c r="AS9" s="11"/>
      <c r="AT9" s="11"/>
      <c r="AU9" s="11"/>
      <c r="AV9" s="11"/>
    </row>
    <row r="10" spans="8:8" ht="12.0" customHeight="1">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1"/>
      <c r="AA10" s="11"/>
      <c r="AB10" s="11"/>
      <c r="AC10" s="11"/>
      <c r="AD10" s="11"/>
      <c r="AE10" s="11"/>
      <c r="AF10" s="11"/>
      <c r="AG10" s="11"/>
      <c r="AH10" s="11"/>
      <c r="AI10" s="11"/>
      <c r="AJ10" s="11"/>
      <c r="AK10" s="11"/>
      <c r="AL10" s="11"/>
      <c r="AM10" s="11"/>
      <c r="AN10" s="11"/>
      <c r="AO10" s="11"/>
      <c r="AP10" s="11"/>
      <c r="AQ10" s="11"/>
      <c r="AR10" s="11"/>
      <c r="AS10" s="11"/>
      <c r="AT10" s="11"/>
      <c r="AU10" s="11"/>
      <c r="AV10" s="11"/>
    </row>
    <row r="11" spans="8:8" ht="12.0" customHeight="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1"/>
      <c r="AA11" s="11"/>
      <c r="AB11" s="11"/>
      <c r="AC11" s="11"/>
      <c r="AD11" s="11"/>
      <c r="AE11" s="11"/>
      <c r="AF11" s="11"/>
      <c r="AG11" s="11"/>
      <c r="AH11" s="11"/>
      <c r="AI11" s="11"/>
      <c r="AJ11" s="11"/>
      <c r="AK11" s="11"/>
      <c r="AL11" s="11"/>
      <c r="AM11" s="11"/>
      <c r="AN11" s="11"/>
      <c r="AO11" s="11"/>
      <c r="AP11" s="11"/>
      <c r="AQ11" s="11"/>
      <c r="AR11" s="11"/>
      <c r="AS11" s="11"/>
      <c r="AT11" s="11"/>
      <c r="AU11" s="11"/>
      <c r="AV11" s="11"/>
    </row>
    <row r="12" spans="8:8" ht="12.0" customHeight="1">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1"/>
      <c r="AA12" s="11"/>
      <c r="AB12" s="11"/>
      <c r="AC12" s="11"/>
      <c r="AD12" s="11"/>
      <c r="AE12" s="11"/>
      <c r="AF12" s="11"/>
      <c r="AG12" s="11"/>
      <c r="AH12" s="11"/>
      <c r="AI12" s="11"/>
      <c r="AJ12" s="11"/>
      <c r="AK12" s="11"/>
      <c r="AL12" s="11"/>
      <c r="AM12" s="11"/>
      <c r="AN12" s="11"/>
      <c r="AO12" s="11"/>
      <c r="AP12" s="11"/>
      <c r="AQ12" s="11"/>
      <c r="AR12" s="11"/>
      <c r="AS12" s="11"/>
      <c r="AT12" s="11"/>
      <c r="AU12" s="11"/>
      <c r="AV12" s="11"/>
    </row>
    <row r="13" spans="8:8" ht="12.0" customHeight="1">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1"/>
      <c r="AA13" s="11"/>
      <c r="AB13" s="11"/>
      <c r="AC13" s="11"/>
      <c r="AD13" s="11"/>
      <c r="AE13" s="11"/>
      <c r="AF13" s="11"/>
      <c r="AG13" s="11"/>
      <c r="AH13" s="11"/>
      <c r="AI13" s="11"/>
      <c r="AJ13" s="11"/>
      <c r="AK13" s="11"/>
      <c r="AL13" s="11"/>
      <c r="AM13" s="11"/>
      <c r="AN13" s="11"/>
      <c r="AO13" s="11"/>
      <c r="AP13" s="11"/>
      <c r="AQ13" s="11"/>
      <c r="AR13" s="11"/>
      <c r="AS13" s="11"/>
      <c r="AT13" s="11"/>
      <c r="AU13" s="11"/>
      <c r="AV13" s="11"/>
    </row>
    <row r="14" spans="8:8" ht="12.0" customHeight="1">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1"/>
      <c r="AA14" s="11"/>
      <c r="AB14" s="11"/>
      <c r="AC14" s="11"/>
      <c r="AD14" s="11"/>
      <c r="AE14" s="11"/>
      <c r="AF14" s="11"/>
      <c r="AG14" s="11"/>
      <c r="AH14" s="11"/>
      <c r="AI14" s="11"/>
      <c r="AJ14" s="11"/>
      <c r="AK14" s="11"/>
      <c r="AL14" s="11"/>
      <c r="AM14" s="11"/>
      <c r="AN14" s="11"/>
      <c r="AO14" s="11"/>
      <c r="AP14" s="11"/>
      <c r="AQ14" s="11"/>
      <c r="AR14" s="11"/>
      <c r="AS14" s="11"/>
      <c r="AT14" s="11"/>
      <c r="AU14" s="11"/>
      <c r="AV14" s="11"/>
    </row>
    <row r="15" spans="8:8" ht="12.0" customHeight="1">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1"/>
      <c r="AA15" s="11"/>
      <c r="AB15" s="11"/>
      <c r="AC15" s="11"/>
      <c r="AD15" s="11"/>
      <c r="AE15" s="11"/>
      <c r="AF15" s="11"/>
      <c r="AG15" s="11"/>
      <c r="AH15" s="11"/>
      <c r="AI15" s="11"/>
      <c r="AJ15" s="11"/>
      <c r="AK15" s="11"/>
      <c r="AL15" s="11"/>
      <c r="AM15" s="11"/>
      <c r="AN15" s="11"/>
      <c r="AO15" s="11"/>
      <c r="AP15" s="11"/>
      <c r="AQ15" s="11"/>
      <c r="AR15" s="11"/>
      <c r="AS15" s="11"/>
      <c r="AT15" s="11"/>
      <c r="AU15" s="11"/>
      <c r="AV15" s="11"/>
    </row>
    <row r="16" spans="8:8" ht="12.0"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1"/>
      <c r="AA16" s="11"/>
      <c r="AB16" s="11"/>
      <c r="AC16" s="11"/>
      <c r="AD16" s="11"/>
      <c r="AE16" s="11"/>
      <c r="AF16" s="11"/>
      <c r="AG16" s="11"/>
      <c r="AH16" s="11"/>
      <c r="AI16" s="11"/>
      <c r="AJ16" s="11"/>
      <c r="AK16" s="11"/>
      <c r="AL16" s="11"/>
      <c r="AM16" s="11"/>
      <c r="AN16" s="11"/>
      <c r="AO16" s="11"/>
      <c r="AP16" s="11"/>
      <c r="AQ16" s="11"/>
      <c r="AR16" s="11"/>
      <c r="AS16" s="11"/>
      <c r="AT16" s="11"/>
      <c r="AU16" s="11"/>
      <c r="AV16" s="11"/>
    </row>
    <row r="17" spans="8:8" ht="12.0"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1"/>
      <c r="AA17" s="11"/>
      <c r="AB17" s="11"/>
      <c r="AC17" s="11"/>
      <c r="AD17" s="11"/>
      <c r="AE17" s="11"/>
      <c r="AF17" s="11"/>
      <c r="AG17" s="11"/>
      <c r="AH17" s="11"/>
      <c r="AI17" s="11"/>
      <c r="AJ17" s="11"/>
      <c r="AK17" s="11"/>
      <c r="AL17" s="11"/>
      <c r="AM17" s="11"/>
      <c r="AN17" s="11"/>
      <c r="AO17" s="11"/>
      <c r="AP17" s="11"/>
      <c r="AQ17" s="11"/>
      <c r="AR17" s="11"/>
      <c r="AS17" s="11"/>
      <c r="AT17" s="11"/>
      <c r="AU17" s="11"/>
      <c r="AV17" s="11"/>
    </row>
    <row r="18" spans="8:8" ht="12.0"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1"/>
      <c r="AA18" s="11"/>
      <c r="AB18" s="11"/>
      <c r="AC18" s="11"/>
      <c r="AD18" s="11"/>
      <c r="AE18" s="11"/>
      <c r="AF18" s="11"/>
      <c r="AG18" s="11"/>
      <c r="AH18" s="11"/>
      <c r="AI18" s="11"/>
      <c r="AJ18" s="11"/>
      <c r="AK18" s="11"/>
      <c r="AL18" s="11"/>
      <c r="AM18" s="11"/>
      <c r="AN18" s="11"/>
      <c r="AO18" s="11"/>
      <c r="AP18" s="11"/>
      <c r="AQ18" s="11"/>
      <c r="AR18" s="11"/>
      <c r="AS18" s="11"/>
      <c r="AT18" s="11"/>
      <c r="AU18" s="11"/>
      <c r="AV18" s="11"/>
    </row>
    <row r="19" spans="8:8" ht="12.0"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1"/>
      <c r="AA19" s="11"/>
      <c r="AB19" s="11"/>
      <c r="AC19" s="11"/>
      <c r="AD19" s="11"/>
      <c r="AE19" s="11"/>
      <c r="AF19" s="11"/>
      <c r="AG19" s="11"/>
      <c r="AH19" s="11"/>
      <c r="AI19" s="11"/>
      <c r="AJ19" s="11"/>
      <c r="AK19" s="11"/>
      <c r="AL19" s="11"/>
      <c r="AM19" s="11"/>
      <c r="AN19" s="11"/>
      <c r="AO19" s="11"/>
      <c r="AP19" s="11"/>
      <c r="AQ19" s="11"/>
      <c r="AR19" s="11"/>
      <c r="AS19" s="11"/>
      <c r="AT19" s="11"/>
      <c r="AU19" s="11"/>
      <c r="AV19" s="11"/>
    </row>
    <row r="20" spans="8:8" ht="12.0"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1"/>
      <c r="AA20" s="11"/>
      <c r="AB20" s="11"/>
      <c r="AC20" s="11"/>
      <c r="AD20" s="11"/>
      <c r="AE20" s="11"/>
      <c r="AF20" s="11"/>
      <c r="AG20" s="11"/>
      <c r="AH20" s="11"/>
      <c r="AI20" s="11"/>
      <c r="AJ20" s="11"/>
      <c r="AK20" s="11"/>
      <c r="AL20" s="11"/>
      <c r="AM20" s="11"/>
      <c r="AN20" s="11"/>
      <c r="AO20" s="11"/>
      <c r="AP20" s="11"/>
      <c r="AQ20" s="11"/>
      <c r="AR20" s="11"/>
      <c r="AS20" s="11"/>
      <c r="AT20" s="11"/>
      <c r="AU20" s="11"/>
      <c r="AV20" s="11"/>
    </row>
    <row r="21" spans="8:8" ht="12.0"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1"/>
      <c r="AA21" s="11"/>
      <c r="AB21" s="11"/>
      <c r="AC21" s="11"/>
      <c r="AD21" s="11"/>
      <c r="AE21" s="11"/>
      <c r="AF21" s="11"/>
      <c r="AG21" s="11"/>
      <c r="AH21" s="11"/>
      <c r="AI21" s="11"/>
      <c r="AJ21" s="11"/>
      <c r="AK21" s="11"/>
      <c r="AL21" s="11"/>
      <c r="AM21" s="11"/>
      <c r="AN21" s="11"/>
      <c r="AO21" s="11"/>
      <c r="AP21" s="11"/>
      <c r="AQ21" s="11"/>
      <c r="AR21" s="11"/>
      <c r="AS21" s="11"/>
      <c r="AT21" s="11"/>
      <c r="AU21" s="11"/>
      <c r="AV21" s="11"/>
    </row>
    <row r="22" spans="8:8" ht="12.0"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1"/>
      <c r="AA22" s="11"/>
      <c r="AB22" s="11"/>
      <c r="AC22" s="11"/>
      <c r="AD22" s="11"/>
      <c r="AE22" s="11"/>
      <c r="AF22" s="11"/>
      <c r="AG22" s="11"/>
      <c r="AH22" s="11"/>
      <c r="AI22" s="11"/>
      <c r="AJ22" s="11"/>
      <c r="AK22" s="11"/>
      <c r="AL22" s="11"/>
      <c r="AM22" s="11"/>
      <c r="AN22" s="11"/>
      <c r="AO22" s="11"/>
      <c r="AP22" s="11"/>
      <c r="AQ22" s="11"/>
      <c r="AR22" s="11"/>
      <c r="AS22" s="11"/>
      <c r="AT22" s="11"/>
      <c r="AU22" s="11"/>
      <c r="AV22" s="11"/>
    </row>
    <row r="23" spans="8:8" ht="12.0"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1"/>
      <c r="AA23" s="11"/>
      <c r="AB23" s="11"/>
      <c r="AC23" s="11"/>
      <c r="AD23" s="11"/>
      <c r="AE23" s="11"/>
      <c r="AF23" s="11"/>
      <c r="AG23" s="11"/>
      <c r="AH23" s="11"/>
      <c r="AI23" s="11"/>
      <c r="AJ23" s="11"/>
      <c r="AK23" s="11"/>
      <c r="AL23" s="11"/>
      <c r="AM23" s="11"/>
      <c r="AN23" s="11"/>
      <c r="AO23" s="11"/>
      <c r="AP23" s="11"/>
      <c r="AQ23" s="11"/>
      <c r="AR23" s="11"/>
      <c r="AS23" s="11"/>
      <c r="AT23" s="11"/>
      <c r="AU23" s="11"/>
      <c r="AV23" s="11"/>
    </row>
    <row r="24" spans="8:8" ht="12.0"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1"/>
      <c r="AA24" s="11"/>
      <c r="AB24" s="11"/>
      <c r="AC24" s="11"/>
      <c r="AD24" s="11"/>
      <c r="AE24" s="11"/>
      <c r="AF24" s="11"/>
      <c r="AG24" s="11"/>
      <c r="AH24" s="11"/>
      <c r="AI24" s="11"/>
      <c r="AJ24" s="11"/>
      <c r="AK24" s="11"/>
      <c r="AL24" s="11"/>
      <c r="AM24" s="11"/>
      <c r="AN24" s="11"/>
      <c r="AO24" s="11"/>
      <c r="AP24" s="11"/>
      <c r="AQ24" s="11"/>
      <c r="AR24" s="11"/>
      <c r="AS24" s="11"/>
      <c r="AT24" s="11"/>
      <c r="AU24" s="11"/>
      <c r="AV24" s="11"/>
    </row>
    <row r="25" spans="8:8" ht="12.0"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1"/>
      <c r="AA25" s="11"/>
      <c r="AB25" s="11"/>
      <c r="AC25" s="11"/>
      <c r="AD25" s="11"/>
      <c r="AE25" s="11"/>
      <c r="AF25" s="11"/>
      <c r="AG25" s="11"/>
      <c r="AH25" s="11"/>
      <c r="AI25" s="11"/>
      <c r="AJ25" s="11"/>
      <c r="AK25" s="11"/>
      <c r="AL25" s="11"/>
      <c r="AM25" s="11"/>
      <c r="AN25" s="11"/>
      <c r="AO25" s="11"/>
      <c r="AP25" s="11"/>
      <c r="AQ25" s="11"/>
      <c r="AR25" s="11"/>
      <c r="AS25" s="11"/>
      <c r="AT25" s="11"/>
      <c r="AU25" s="11"/>
      <c r="AV25" s="11"/>
    </row>
    <row r="26" spans="8:8" ht="12.0"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1"/>
      <c r="AA26" s="11"/>
      <c r="AB26" s="11"/>
      <c r="AC26" s="11"/>
      <c r="AD26" s="11"/>
      <c r="AE26" s="11"/>
      <c r="AF26" s="11"/>
      <c r="AG26" s="11"/>
      <c r="AH26" s="11"/>
      <c r="AI26" s="11"/>
      <c r="AJ26" s="11"/>
      <c r="AK26" s="11"/>
      <c r="AL26" s="11"/>
      <c r="AM26" s="11"/>
      <c r="AN26" s="11"/>
      <c r="AO26" s="11"/>
      <c r="AP26" s="11"/>
      <c r="AQ26" s="11"/>
      <c r="AR26" s="11"/>
      <c r="AS26" s="11"/>
      <c r="AT26" s="11"/>
      <c r="AU26" s="11"/>
      <c r="AV26" s="11"/>
    </row>
    <row r="27" spans="8:8" ht="12.0"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1"/>
      <c r="AA27" s="11"/>
      <c r="AB27" s="11"/>
      <c r="AC27" s="11"/>
      <c r="AD27" s="11"/>
      <c r="AE27" s="11"/>
      <c r="AF27" s="11"/>
      <c r="AG27" s="11"/>
      <c r="AH27" s="11"/>
      <c r="AI27" s="11"/>
      <c r="AJ27" s="11"/>
      <c r="AK27" s="11"/>
      <c r="AL27" s="11"/>
      <c r="AM27" s="11"/>
      <c r="AN27" s="11"/>
      <c r="AO27" s="11"/>
      <c r="AP27" s="11"/>
      <c r="AQ27" s="11"/>
      <c r="AR27" s="11"/>
      <c r="AS27" s="11"/>
      <c r="AT27" s="11"/>
      <c r="AU27" s="11"/>
      <c r="AV27" s="11"/>
    </row>
    <row r="28" spans="8:8" ht="12.0"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1"/>
      <c r="AA28" s="11"/>
      <c r="AB28" s="11"/>
      <c r="AC28" s="11"/>
      <c r="AD28" s="11"/>
      <c r="AE28" s="11"/>
      <c r="AF28" s="11"/>
      <c r="AG28" s="11"/>
      <c r="AH28" s="11"/>
      <c r="AI28" s="11"/>
      <c r="AJ28" s="11"/>
      <c r="AK28" s="11"/>
      <c r="AL28" s="11"/>
      <c r="AM28" s="11"/>
      <c r="AN28" s="11"/>
      <c r="AO28" s="11"/>
      <c r="AP28" s="11"/>
      <c r="AQ28" s="11"/>
      <c r="AR28" s="11"/>
      <c r="AS28" s="11"/>
      <c r="AT28" s="11"/>
      <c r="AU28" s="11"/>
      <c r="AV28" s="11"/>
    </row>
    <row r="29" spans="8:8" ht="12.0"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1"/>
      <c r="AA29" s="11"/>
      <c r="AB29" s="11"/>
      <c r="AC29" s="11"/>
      <c r="AD29" s="11"/>
      <c r="AE29" s="11"/>
      <c r="AF29" s="11"/>
      <c r="AG29" s="11"/>
      <c r="AH29" s="11"/>
      <c r="AI29" s="11"/>
      <c r="AJ29" s="11"/>
      <c r="AK29" s="11"/>
      <c r="AL29" s="11"/>
      <c r="AM29" s="11"/>
      <c r="AN29" s="11"/>
      <c r="AO29" s="11"/>
      <c r="AP29" s="11"/>
      <c r="AQ29" s="11"/>
      <c r="AR29" s="11"/>
      <c r="AS29" s="11"/>
      <c r="AT29" s="11"/>
      <c r="AU29" s="11"/>
      <c r="AV29" s="11"/>
    </row>
    <row r="30" spans="8:8" ht="12.0"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1"/>
      <c r="AA30" s="11"/>
      <c r="AB30" s="11"/>
      <c r="AC30" s="11"/>
      <c r="AD30" s="11"/>
      <c r="AE30" s="11"/>
      <c r="AF30" s="11"/>
      <c r="AG30" s="11"/>
      <c r="AH30" s="11"/>
      <c r="AI30" s="11"/>
      <c r="AJ30" s="11"/>
      <c r="AK30" s="11"/>
      <c r="AL30" s="11"/>
      <c r="AM30" s="11"/>
      <c r="AN30" s="11"/>
      <c r="AO30" s="11"/>
      <c r="AP30" s="11"/>
      <c r="AQ30" s="11"/>
      <c r="AR30" s="11"/>
      <c r="AS30" s="11"/>
      <c r="AT30" s="11"/>
      <c r="AU30" s="11"/>
      <c r="AV30" s="11"/>
    </row>
    <row r="31" spans="8:8" ht="12.0"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1"/>
      <c r="AA31" s="11"/>
      <c r="AB31" s="11"/>
      <c r="AC31" s="11"/>
      <c r="AD31" s="11"/>
      <c r="AE31" s="11"/>
      <c r="AF31" s="11"/>
      <c r="AG31" s="11"/>
      <c r="AH31" s="11"/>
      <c r="AI31" s="11"/>
      <c r="AJ31" s="11"/>
      <c r="AK31" s="11"/>
      <c r="AL31" s="11"/>
      <c r="AM31" s="11"/>
      <c r="AN31" s="11"/>
      <c r="AO31" s="11"/>
      <c r="AP31" s="11"/>
      <c r="AQ31" s="11"/>
      <c r="AR31" s="11"/>
      <c r="AS31" s="11"/>
      <c r="AT31" s="11"/>
      <c r="AU31" s="11"/>
      <c r="AV31" s="11"/>
    </row>
    <row r="32" spans="8:8" ht="12.0"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1"/>
      <c r="AA32" s="11"/>
      <c r="AB32" s="11"/>
      <c r="AC32" s="11"/>
      <c r="AD32" s="11"/>
      <c r="AE32" s="11"/>
      <c r="AF32" s="11"/>
      <c r="AG32" s="11"/>
      <c r="AH32" s="11"/>
      <c r="AI32" s="11"/>
      <c r="AJ32" s="11"/>
      <c r="AK32" s="11"/>
      <c r="AL32" s="11"/>
      <c r="AM32" s="11"/>
      <c r="AN32" s="11"/>
      <c r="AO32" s="11"/>
      <c r="AP32" s="11"/>
      <c r="AQ32" s="11"/>
      <c r="AR32" s="11"/>
      <c r="AS32" s="11"/>
      <c r="AT32" s="11"/>
      <c r="AU32" s="11"/>
      <c r="AV32" s="11"/>
    </row>
    <row r="33" spans="8:8" ht="12.0"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1"/>
      <c r="AA33" s="11"/>
      <c r="AB33" s="11"/>
      <c r="AC33" s="11"/>
      <c r="AD33" s="11"/>
      <c r="AE33" s="11"/>
      <c r="AF33" s="11"/>
      <c r="AG33" s="11"/>
      <c r="AH33" s="11"/>
      <c r="AI33" s="11"/>
      <c r="AJ33" s="11"/>
      <c r="AK33" s="11"/>
      <c r="AL33" s="11"/>
      <c r="AM33" s="11"/>
      <c r="AN33" s="11"/>
      <c r="AO33" s="11"/>
      <c r="AP33" s="11"/>
      <c r="AQ33" s="11"/>
      <c r="AR33" s="11"/>
      <c r="AS33" s="11"/>
      <c r="AT33" s="11"/>
      <c r="AU33" s="11"/>
      <c r="AV33" s="11"/>
    </row>
    <row r="34" spans="8:8" ht="12.0"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1"/>
      <c r="AA34" s="11"/>
      <c r="AB34" s="11"/>
      <c r="AC34" s="11"/>
      <c r="AD34" s="11"/>
      <c r="AE34" s="11"/>
      <c r="AF34" s="11"/>
      <c r="AG34" s="11"/>
      <c r="AH34" s="11"/>
      <c r="AI34" s="11"/>
      <c r="AJ34" s="11"/>
      <c r="AK34" s="11"/>
      <c r="AL34" s="11"/>
      <c r="AM34" s="11"/>
      <c r="AN34" s="11"/>
      <c r="AO34" s="11"/>
      <c r="AP34" s="11"/>
      <c r="AQ34" s="11"/>
      <c r="AR34" s="11"/>
      <c r="AS34" s="11"/>
      <c r="AT34" s="11"/>
      <c r="AU34" s="11"/>
      <c r="AV34" s="11"/>
    </row>
    <row r="35" spans="8:8" ht="12.0"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1"/>
      <c r="AA35" s="11"/>
      <c r="AB35" s="11"/>
      <c r="AC35" s="11"/>
      <c r="AD35" s="11"/>
      <c r="AE35" s="11"/>
      <c r="AF35" s="11"/>
      <c r="AG35" s="11"/>
      <c r="AH35" s="11"/>
      <c r="AI35" s="11"/>
      <c r="AJ35" s="11"/>
      <c r="AK35" s="11"/>
      <c r="AL35" s="11"/>
      <c r="AM35" s="11"/>
      <c r="AN35" s="11"/>
      <c r="AO35" s="11"/>
      <c r="AP35" s="11"/>
      <c r="AQ35" s="11"/>
      <c r="AR35" s="11"/>
      <c r="AS35" s="11"/>
      <c r="AT35" s="11"/>
      <c r="AU35" s="11"/>
      <c r="AV35" s="11"/>
    </row>
    <row r="36" spans="8:8" ht="12.0"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1"/>
      <c r="AA36" s="11"/>
      <c r="AB36" s="11"/>
      <c r="AC36" s="11"/>
      <c r="AD36" s="11"/>
      <c r="AE36" s="11"/>
      <c r="AF36" s="11"/>
      <c r="AG36" s="11"/>
      <c r="AH36" s="11"/>
      <c r="AI36" s="11"/>
      <c r="AJ36" s="11"/>
      <c r="AK36" s="11"/>
      <c r="AL36" s="11"/>
      <c r="AM36" s="11"/>
      <c r="AN36" s="11"/>
      <c r="AO36" s="11"/>
      <c r="AP36" s="11"/>
      <c r="AQ36" s="11"/>
      <c r="AR36" s="11"/>
      <c r="AS36" s="11"/>
      <c r="AT36" s="11"/>
      <c r="AU36" s="11"/>
      <c r="AV36" s="11"/>
    </row>
    <row r="37" spans="8:8" ht="12.0"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1"/>
      <c r="AA37" s="11"/>
      <c r="AB37" s="11"/>
      <c r="AC37" s="11"/>
      <c r="AD37" s="11"/>
      <c r="AE37" s="11"/>
      <c r="AF37" s="11"/>
      <c r="AG37" s="11"/>
      <c r="AH37" s="11"/>
      <c r="AI37" s="11"/>
      <c r="AJ37" s="11"/>
      <c r="AK37" s="11"/>
      <c r="AL37" s="11"/>
      <c r="AM37" s="11"/>
      <c r="AN37" s="11"/>
      <c r="AO37" s="11"/>
      <c r="AP37" s="11"/>
      <c r="AQ37" s="11"/>
      <c r="AR37" s="11"/>
      <c r="AS37" s="11"/>
      <c r="AT37" s="11"/>
      <c r="AU37" s="11"/>
      <c r="AV37" s="11"/>
    </row>
    <row r="38" spans="8:8" ht="12.0"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1"/>
      <c r="AA38" s="11"/>
      <c r="AB38" s="11"/>
      <c r="AC38" s="11"/>
      <c r="AD38" s="11"/>
      <c r="AE38" s="11"/>
      <c r="AF38" s="11"/>
      <c r="AG38" s="11"/>
      <c r="AH38" s="11"/>
      <c r="AI38" s="11"/>
      <c r="AJ38" s="11"/>
      <c r="AK38" s="11"/>
      <c r="AL38" s="11"/>
      <c r="AM38" s="11"/>
      <c r="AN38" s="11"/>
      <c r="AO38" s="11"/>
      <c r="AP38" s="11"/>
      <c r="AQ38" s="11"/>
      <c r="AR38" s="11"/>
      <c r="AS38" s="11"/>
      <c r="AT38" s="11"/>
      <c r="AU38" s="11"/>
      <c r="AV38" s="11"/>
    </row>
    <row r="39" spans="8:8" ht="12.0"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1"/>
      <c r="AA39" s="11"/>
      <c r="AB39" s="11"/>
      <c r="AC39" s="11"/>
      <c r="AD39" s="11"/>
      <c r="AE39" s="11"/>
      <c r="AF39" s="11"/>
      <c r="AG39" s="11"/>
      <c r="AH39" s="11"/>
      <c r="AI39" s="11"/>
      <c r="AJ39" s="11"/>
      <c r="AK39" s="11"/>
      <c r="AL39" s="11"/>
      <c r="AM39" s="11"/>
      <c r="AN39" s="11"/>
      <c r="AO39" s="11"/>
      <c r="AP39" s="11"/>
      <c r="AQ39" s="11"/>
      <c r="AR39" s="11"/>
      <c r="AS39" s="11"/>
      <c r="AT39" s="11"/>
      <c r="AU39" s="11"/>
      <c r="AV39" s="11"/>
    </row>
    <row r="40" spans="8:8" ht="12.0"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1"/>
      <c r="AA40" s="11"/>
      <c r="AB40" s="11"/>
      <c r="AC40" s="11"/>
      <c r="AD40" s="11"/>
      <c r="AE40" s="11"/>
      <c r="AF40" s="11"/>
      <c r="AG40" s="11"/>
      <c r="AH40" s="11"/>
      <c r="AI40" s="11"/>
      <c r="AJ40" s="11"/>
      <c r="AK40" s="11"/>
      <c r="AL40" s="11"/>
      <c r="AM40" s="11"/>
      <c r="AN40" s="11"/>
      <c r="AO40" s="11"/>
      <c r="AP40" s="11"/>
      <c r="AQ40" s="11"/>
      <c r="AR40" s="11"/>
      <c r="AS40" s="11"/>
      <c r="AT40" s="11"/>
      <c r="AU40" s="11"/>
      <c r="AV40" s="11"/>
    </row>
    <row r="41" spans="8:8" ht="12.0"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1"/>
      <c r="AA41" s="11"/>
      <c r="AB41" s="11"/>
      <c r="AC41" s="11"/>
      <c r="AD41" s="11"/>
      <c r="AE41" s="11"/>
      <c r="AF41" s="11"/>
      <c r="AG41" s="11"/>
      <c r="AH41" s="11"/>
      <c r="AI41" s="11"/>
      <c r="AJ41" s="11"/>
      <c r="AK41" s="11"/>
      <c r="AL41" s="11"/>
      <c r="AM41" s="11"/>
      <c r="AN41" s="11"/>
      <c r="AO41" s="11"/>
      <c r="AP41" s="11"/>
      <c r="AQ41" s="11"/>
      <c r="AR41" s="11"/>
      <c r="AS41" s="11"/>
      <c r="AT41" s="11"/>
      <c r="AU41" s="11"/>
      <c r="AV41" s="11"/>
    </row>
    <row r="42" spans="8:8" ht="12.0"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1"/>
      <c r="AA42" s="11"/>
      <c r="AB42" s="11"/>
      <c r="AC42" s="11"/>
      <c r="AD42" s="11"/>
      <c r="AE42" s="11"/>
      <c r="AF42" s="11"/>
      <c r="AG42" s="11"/>
      <c r="AH42" s="11"/>
      <c r="AI42" s="11"/>
      <c r="AJ42" s="11"/>
      <c r="AK42" s="11"/>
      <c r="AL42" s="11"/>
      <c r="AM42" s="11"/>
      <c r="AN42" s="11"/>
      <c r="AO42" s="11"/>
      <c r="AP42" s="11"/>
      <c r="AQ42" s="11"/>
      <c r="AR42" s="11"/>
      <c r="AS42" s="11"/>
      <c r="AT42" s="11"/>
      <c r="AU42" s="11"/>
      <c r="AV42" s="11"/>
    </row>
    <row r="43" spans="8:8" ht="12.0"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1"/>
      <c r="AA43" s="11"/>
      <c r="AB43" s="11"/>
      <c r="AC43" s="11"/>
      <c r="AD43" s="11"/>
      <c r="AE43" s="11"/>
      <c r="AF43" s="11"/>
      <c r="AG43" s="11"/>
      <c r="AH43" s="11"/>
      <c r="AI43" s="11"/>
      <c r="AJ43" s="11"/>
      <c r="AK43" s="11"/>
      <c r="AL43" s="11"/>
      <c r="AM43" s="11"/>
      <c r="AN43" s="11"/>
      <c r="AO43" s="11"/>
      <c r="AP43" s="11"/>
      <c r="AQ43" s="11"/>
      <c r="AR43" s="11"/>
      <c r="AS43" s="11"/>
      <c r="AT43" s="11"/>
      <c r="AU43" s="11"/>
      <c r="AV43" s="11"/>
    </row>
    <row r="44" spans="8:8" ht="12.0"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1"/>
      <c r="AA44" s="11"/>
      <c r="AB44" s="11"/>
      <c r="AC44" s="11"/>
      <c r="AD44" s="11"/>
      <c r="AE44" s="11"/>
      <c r="AF44" s="11"/>
      <c r="AG44" s="11"/>
      <c r="AH44" s="11"/>
      <c r="AI44" s="11"/>
      <c r="AJ44" s="11"/>
      <c r="AK44" s="11"/>
      <c r="AL44" s="11"/>
      <c r="AM44" s="11"/>
      <c r="AN44" s="11"/>
      <c r="AO44" s="11"/>
      <c r="AP44" s="11"/>
      <c r="AQ44" s="11"/>
      <c r="AR44" s="11"/>
      <c r="AS44" s="11"/>
      <c r="AT44" s="11"/>
      <c r="AU44" s="11"/>
      <c r="AV44" s="11"/>
    </row>
    <row r="45" spans="8:8" ht="12.0"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1"/>
      <c r="AA45" s="11"/>
      <c r="AB45" s="11"/>
      <c r="AC45" s="11"/>
      <c r="AD45" s="11"/>
      <c r="AE45" s="11"/>
      <c r="AF45" s="11"/>
      <c r="AG45" s="11"/>
      <c r="AH45" s="11"/>
      <c r="AI45" s="11"/>
      <c r="AJ45" s="11"/>
      <c r="AK45" s="11"/>
      <c r="AL45" s="11"/>
      <c r="AM45" s="11"/>
      <c r="AN45" s="11"/>
      <c r="AO45" s="11"/>
      <c r="AP45" s="11"/>
      <c r="AQ45" s="11"/>
      <c r="AR45" s="11"/>
      <c r="AS45" s="11"/>
      <c r="AT45" s="11"/>
      <c r="AU45" s="11"/>
      <c r="AV45" s="11"/>
    </row>
    <row r="46" spans="8:8" ht="12.0"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1"/>
      <c r="AA46" s="11"/>
      <c r="AB46" s="11"/>
      <c r="AC46" s="11"/>
      <c r="AD46" s="11"/>
      <c r="AE46" s="11"/>
      <c r="AF46" s="11"/>
      <c r="AG46" s="11"/>
      <c r="AH46" s="11"/>
      <c r="AI46" s="11"/>
      <c r="AJ46" s="11"/>
      <c r="AK46" s="11"/>
      <c r="AL46" s="11"/>
      <c r="AM46" s="11"/>
      <c r="AN46" s="11"/>
      <c r="AO46" s="11"/>
      <c r="AP46" s="11"/>
      <c r="AQ46" s="11"/>
      <c r="AR46" s="11"/>
      <c r="AS46" s="11"/>
      <c r="AT46" s="11"/>
      <c r="AU46" s="11"/>
      <c r="AV46" s="11"/>
    </row>
    <row r="47" spans="8:8" ht="12.0"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1"/>
      <c r="AA47" s="11"/>
      <c r="AB47" s="11"/>
      <c r="AC47" s="11"/>
      <c r="AD47" s="11"/>
      <c r="AE47" s="11"/>
      <c r="AF47" s="11"/>
      <c r="AG47" s="11"/>
      <c r="AH47" s="11"/>
      <c r="AI47" s="11"/>
      <c r="AJ47" s="11"/>
      <c r="AK47" s="11"/>
      <c r="AL47" s="11"/>
      <c r="AM47" s="11"/>
      <c r="AN47" s="11"/>
      <c r="AO47" s="11"/>
      <c r="AP47" s="11"/>
      <c r="AQ47" s="11"/>
      <c r="AR47" s="11"/>
      <c r="AS47" s="11"/>
      <c r="AT47" s="11"/>
      <c r="AU47" s="11"/>
      <c r="AV47" s="11"/>
    </row>
    <row r="48" spans="8:8" ht="12.0"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1"/>
      <c r="AA48" s="11"/>
      <c r="AB48" s="11"/>
      <c r="AC48" s="11"/>
      <c r="AD48" s="11"/>
      <c r="AE48" s="11"/>
      <c r="AF48" s="11"/>
      <c r="AG48" s="11"/>
      <c r="AH48" s="11"/>
      <c r="AI48" s="11"/>
      <c r="AJ48" s="11"/>
      <c r="AK48" s="11"/>
      <c r="AL48" s="11"/>
      <c r="AM48" s="11"/>
      <c r="AN48" s="11"/>
      <c r="AO48" s="11"/>
      <c r="AP48" s="11"/>
      <c r="AQ48" s="11"/>
      <c r="AR48" s="11"/>
      <c r="AS48" s="11"/>
      <c r="AT48" s="11"/>
      <c r="AU48" s="11"/>
      <c r="AV48" s="11"/>
    </row>
    <row r="49" spans="8:8" ht="12.0"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1"/>
      <c r="AA49" s="11"/>
      <c r="AB49" s="11"/>
      <c r="AC49" s="11"/>
      <c r="AD49" s="11"/>
      <c r="AE49" s="11"/>
      <c r="AF49" s="11"/>
      <c r="AG49" s="11"/>
      <c r="AH49" s="11"/>
      <c r="AI49" s="11"/>
      <c r="AJ49" s="11"/>
      <c r="AK49" s="11"/>
      <c r="AL49" s="11"/>
      <c r="AM49" s="11"/>
      <c r="AN49" s="11"/>
      <c r="AO49" s="11"/>
      <c r="AP49" s="11"/>
      <c r="AQ49" s="11"/>
      <c r="AR49" s="11"/>
      <c r="AS49" s="11"/>
      <c r="AT49" s="11"/>
      <c r="AU49" s="11"/>
      <c r="AV49" s="11"/>
    </row>
    <row r="50" spans="8:8" ht="12.0"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1"/>
      <c r="AA50" s="11"/>
      <c r="AB50" s="11"/>
      <c r="AC50" s="11"/>
      <c r="AD50" s="11"/>
      <c r="AE50" s="11"/>
      <c r="AF50" s="11"/>
      <c r="AG50" s="11"/>
      <c r="AH50" s="11"/>
      <c r="AI50" s="11"/>
      <c r="AJ50" s="11"/>
      <c r="AK50" s="11"/>
      <c r="AL50" s="11"/>
      <c r="AM50" s="11"/>
      <c r="AN50" s="11"/>
      <c r="AO50" s="11"/>
      <c r="AP50" s="11"/>
      <c r="AQ50" s="11"/>
      <c r="AR50" s="11"/>
      <c r="AS50" s="11"/>
      <c r="AT50" s="11"/>
      <c r="AU50" s="11"/>
      <c r="AV50" s="11"/>
    </row>
    <row r="51" spans="8:8" ht="12.0"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1"/>
      <c r="AA51" s="11"/>
      <c r="AB51" s="11"/>
      <c r="AC51" s="11"/>
      <c r="AD51" s="11"/>
      <c r="AE51" s="11"/>
      <c r="AF51" s="11"/>
      <c r="AG51" s="11"/>
      <c r="AH51" s="11"/>
      <c r="AI51" s="11"/>
      <c r="AJ51" s="11"/>
      <c r="AK51" s="11"/>
      <c r="AL51" s="11"/>
      <c r="AM51" s="11"/>
      <c r="AN51" s="11"/>
      <c r="AO51" s="11"/>
      <c r="AP51" s="11"/>
      <c r="AQ51" s="11"/>
      <c r="AR51" s="11"/>
      <c r="AS51" s="11"/>
      <c r="AT51" s="11"/>
      <c r="AU51" s="11"/>
      <c r="AV51" s="11"/>
    </row>
    <row r="52" spans="8:8" ht="12.0"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1"/>
      <c r="AA52" s="11"/>
      <c r="AB52" s="11"/>
      <c r="AC52" s="11"/>
      <c r="AD52" s="11"/>
      <c r="AE52" s="11"/>
      <c r="AF52" s="11"/>
      <c r="AG52" s="11"/>
      <c r="AH52" s="11"/>
      <c r="AI52" s="11"/>
      <c r="AJ52" s="11"/>
      <c r="AK52" s="11"/>
      <c r="AL52" s="11"/>
      <c r="AM52" s="11"/>
      <c r="AN52" s="11"/>
      <c r="AO52" s="11"/>
      <c r="AP52" s="11"/>
      <c r="AQ52" s="11"/>
      <c r="AR52" s="11"/>
      <c r="AS52" s="11"/>
      <c r="AT52" s="11"/>
      <c r="AU52" s="11"/>
      <c r="AV52" s="11"/>
    </row>
    <row r="53" spans="8:8" ht="12.0"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1"/>
      <c r="AA53" s="11"/>
      <c r="AB53" s="11"/>
      <c r="AC53" s="11"/>
      <c r="AD53" s="11"/>
      <c r="AE53" s="11"/>
      <c r="AF53" s="11"/>
      <c r="AG53" s="11"/>
      <c r="AH53" s="11"/>
      <c r="AI53" s="11"/>
      <c r="AJ53" s="11"/>
      <c r="AK53" s="11"/>
      <c r="AL53" s="11"/>
      <c r="AM53" s="11"/>
      <c r="AN53" s="11"/>
      <c r="AO53" s="11"/>
      <c r="AP53" s="11"/>
      <c r="AQ53" s="11"/>
      <c r="AR53" s="11"/>
      <c r="AS53" s="11"/>
      <c r="AT53" s="11"/>
      <c r="AU53" s="11"/>
      <c r="AV53" s="11"/>
    </row>
    <row r="54" spans="8:8" ht="12.0"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1"/>
      <c r="AA54" s="11"/>
      <c r="AB54" s="11"/>
      <c r="AC54" s="11"/>
      <c r="AD54" s="11"/>
      <c r="AE54" s="11"/>
      <c r="AF54" s="11"/>
      <c r="AG54" s="11"/>
      <c r="AH54" s="11"/>
      <c r="AI54" s="11"/>
      <c r="AJ54" s="11"/>
      <c r="AK54" s="11"/>
      <c r="AL54" s="11"/>
      <c r="AM54" s="11"/>
      <c r="AN54" s="11"/>
      <c r="AO54" s="11"/>
      <c r="AP54" s="11"/>
      <c r="AQ54" s="11"/>
      <c r="AR54" s="11"/>
      <c r="AS54" s="11"/>
      <c r="AT54" s="11"/>
      <c r="AU54" s="11"/>
      <c r="AV54" s="11"/>
    </row>
    <row r="55" spans="8:8" ht="12.0"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1"/>
      <c r="AA55" s="11"/>
      <c r="AB55" s="11"/>
      <c r="AC55" s="11"/>
      <c r="AD55" s="11"/>
      <c r="AE55" s="11"/>
      <c r="AF55" s="11"/>
      <c r="AG55" s="11"/>
      <c r="AH55" s="11"/>
      <c r="AI55" s="11"/>
      <c r="AJ55" s="11"/>
      <c r="AK55" s="11"/>
      <c r="AL55" s="11"/>
      <c r="AM55" s="11"/>
      <c r="AN55" s="11"/>
      <c r="AO55" s="11"/>
      <c r="AP55" s="11"/>
      <c r="AQ55" s="11"/>
      <c r="AR55" s="11"/>
      <c r="AS55" s="11"/>
      <c r="AT55" s="11"/>
      <c r="AU55" s="11"/>
      <c r="AV55" s="11"/>
    </row>
    <row r="56" spans="8:8" ht="12.0"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1"/>
      <c r="AA56" s="11"/>
      <c r="AB56" s="11"/>
      <c r="AC56" s="11"/>
      <c r="AD56" s="11"/>
      <c r="AE56" s="11"/>
      <c r="AF56" s="11"/>
      <c r="AG56" s="11"/>
      <c r="AH56" s="11"/>
      <c r="AI56" s="11"/>
      <c r="AJ56" s="11"/>
      <c r="AK56" s="11"/>
      <c r="AL56" s="11"/>
      <c r="AM56" s="11"/>
      <c r="AN56" s="11"/>
      <c r="AO56" s="11"/>
      <c r="AP56" s="11"/>
      <c r="AQ56" s="11"/>
      <c r="AR56" s="11"/>
      <c r="AS56" s="11"/>
      <c r="AT56" s="11"/>
      <c r="AU56" s="11"/>
      <c r="AV56" s="11"/>
    </row>
    <row r="57" spans="8:8" ht="12.0"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1"/>
      <c r="AA57" s="11"/>
      <c r="AB57" s="11"/>
      <c r="AC57" s="11"/>
      <c r="AD57" s="11"/>
      <c r="AE57" s="11"/>
      <c r="AF57" s="11"/>
      <c r="AG57" s="11"/>
      <c r="AH57" s="11"/>
      <c r="AI57" s="11"/>
      <c r="AJ57" s="11"/>
      <c r="AK57" s="11"/>
      <c r="AL57" s="11"/>
      <c r="AM57" s="11"/>
      <c r="AN57" s="11"/>
      <c r="AO57" s="11"/>
      <c r="AP57" s="11"/>
      <c r="AQ57" s="11"/>
      <c r="AR57" s="11"/>
      <c r="AS57" s="11"/>
      <c r="AT57" s="11"/>
      <c r="AU57" s="11"/>
      <c r="AV57" s="11"/>
    </row>
    <row r="58" spans="8:8" ht="12.0"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1"/>
      <c r="AA58" s="11"/>
      <c r="AB58" s="11"/>
      <c r="AC58" s="11"/>
      <c r="AD58" s="11"/>
      <c r="AE58" s="11"/>
      <c r="AF58" s="11"/>
      <c r="AG58" s="11"/>
      <c r="AH58" s="11"/>
      <c r="AI58" s="11"/>
      <c r="AJ58" s="11"/>
      <c r="AK58" s="11"/>
      <c r="AL58" s="11"/>
      <c r="AM58" s="11"/>
      <c r="AN58" s="11"/>
      <c r="AO58" s="11"/>
      <c r="AP58" s="11"/>
      <c r="AQ58" s="11"/>
      <c r="AR58" s="11"/>
      <c r="AS58" s="11"/>
      <c r="AT58" s="11"/>
      <c r="AU58" s="11"/>
      <c r="AV58" s="11"/>
    </row>
    <row r="59" spans="8:8" ht="12.0"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row>
    <row r="60" spans="8:8" ht="12.0"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row>
    <row r="61" spans="8:8" ht="12.0"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row>
    <row r="62" spans="8:8" ht="12.0"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row>
  </sheetData>
  <mergeCells count="1">
    <mergeCell ref="A1:Y58"/>
  </mergeCells>
  <pageMargins left="0.7" right="0.7" top="0.75" bottom="0.75" header="0.511811023622047" footer="0.511811023622047"/>
</worksheet>
</file>

<file path=xl/worksheets/sheet8.xml><?xml version="1.0" encoding="utf-8"?>
<worksheet xmlns:r="http://schemas.openxmlformats.org/officeDocument/2006/relationships" xmlns="http://schemas.openxmlformats.org/spreadsheetml/2006/main">
  <dimension ref="A1:EN32"/>
  <sheetViews>
    <sheetView tabSelected="1" workbookViewId="0" zoomScale="52">
      <selection activeCell="B5" sqref="B5"/>
    </sheetView>
  </sheetViews>
  <sheetFormatPr defaultRowHeight="12.5" defaultColWidth="58"/>
  <cols>
    <col min="1" max="1" customWidth="1" width="14.816406" style="0"/>
    <col min="2" max="2" customWidth="1" width="38.36328" style="0"/>
    <col min="3" max="3" customWidth="1" width="27.632812" style="0"/>
    <col min="4" max="4" customWidth="1" width="27.269531" style="0"/>
    <col min="5" max="5" customWidth="1" width="35.816406" style="0"/>
    <col min="6" max="6" customWidth="1" width="32.089844" style="0"/>
    <col min="7" max="7" customWidth="1" width="34.089844" style="0"/>
  </cols>
  <sheetData>
    <row r="1" spans="8:8" ht="16.5" customHeight="1">
      <c r="A1" s="53" t="s">
        <v>159</v>
      </c>
      <c r="B1" s="53" t="s">
        <v>80</v>
      </c>
      <c r="C1" s="54"/>
      <c r="D1" s="54"/>
      <c r="E1" s="54"/>
      <c r="F1" s="54"/>
      <c r="G1" s="54"/>
    </row>
    <row r="2" spans="8:8" ht="16.5" customHeight="1">
      <c r="A2" s="55" t="s">
        <v>81</v>
      </c>
      <c r="B2" s="55" t="s">
        <v>82</v>
      </c>
      <c r="C2" s="55"/>
      <c r="D2" s="55"/>
      <c r="E2" s="55"/>
      <c r="F2" s="55"/>
      <c r="G2" s="55"/>
    </row>
    <row r="3" spans="8:8" ht="16.5" customHeight="1">
      <c r="A3" s="55" t="s">
        <v>83</v>
      </c>
      <c r="B3" s="55" t="s">
        <v>84</v>
      </c>
      <c r="C3" s="55"/>
      <c r="D3" s="55"/>
      <c r="E3" s="55"/>
      <c r="F3" s="55"/>
      <c r="G3" s="55"/>
    </row>
    <row r="4" spans="8:8" ht="16.5" customHeight="1">
      <c r="A4" s="55" t="s">
        <v>74</v>
      </c>
      <c r="B4" s="56" t="s">
        <v>85</v>
      </c>
      <c r="C4" s="55"/>
      <c r="D4" s="55"/>
      <c r="E4" s="55"/>
      <c r="F4" s="55"/>
      <c r="G4" s="55"/>
    </row>
    <row r="5" spans="8:8" ht="16.5" customHeight="1">
      <c r="A5" s="55" t="s">
        <v>86</v>
      </c>
      <c r="B5" s="57">
        <v>46226.0</v>
      </c>
      <c r="C5" s="54"/>
      <c r="D5" s="54"/>
      <c r="E5" s="54"/>
      <c r="F5" s="54"/>
      <c r="G5" s="54"/>
    </row>
    <row r="6" spans="8:8" ht="16.5" customHeight="1">
      <c r="A6" s="58" t="s">
        <v>87</v>
      </c>
      <c r="B6" s="58"/>
      <c r="C6" s="58"/>
      <c r="D6" s="58"/>
      <c r="E6" s="58"/>
      <c r="F6" s="58"/>
      <c r="G6" s="58"/>
    </row>
    <row r="7" spans="8:8" ht="16.5" customHeight="1">
      <c r="A7" s="59" t="s">
        <v>88</v>
      </c>
      <c r="B7" s="60" t="s">
        <v>89</v>
      </c>
      <c r="C7" s="60" t="s">
        <v>90</v>
      </c>
      <c r="D7" s="60" t="s">
        <v>91</v>
      </c>
      <c r="E7" s="60" t="s">
        <v>92</v>
      </c>
      <c r="F7" s="60" t="s">
        <v>93</v>
      </c>
      <c r="G7" s="60" t="s">
        <v>94</v>
      </c>
    </row>
    <row r="8" spans="8:8" ht="16.5" customHeight="1">
      <c r="A8" s="61">
        <v>1.0</v>
      </c>
      <c r="B8" s="62" t="s">
        <v>240</v>
      </c>
      <c r="C8" s="63" t="s">
        <v>250</v>
      </c>
      <c r="D8" s="64" t="s">
        <v>262</v>
      </c>
      <c r="E8" s="65" t="s">
        <v>282</v>
      </c>
      <c r="F8" s="65" t="s">
        <v>281</v>
      </c>
      <c r="G8" s="66" t="s">
        <v>295</v>
      </c>
    </row>
    <row r="9" spans="8:8" ht="16.5" customHeight="1">
      <c r="A9" s="61">
        <v>2.0</v>
      </c>
      <c r="B9" s="62" t="s">
        <v>241</v>
      </c>
      <c r="C9" s="63" t="s">
        <v>251</v>
      </c>
      <c r="D9" s="64" t="s">
        <v>263</v>
      </c>
      <c r="E9" s="67" t="s">
        <v>290</v>
      </c>
      <c r="F9" s="65" t="s">
        <v>275</v>
      </c>
      <c r="G9" s="66" t="s">
        <v>294</v>
      </c>
    </row>
    <row r="10" spans="8:8" ht="16.5" customHeight="1">
      <c r="A10" s="61">
        <v>3.0</v>
      </c>
      <c r="B10" s="62" t="s">
        <v>242</v>
      </c>
      <c r="C10" s="65" t="s">
        <v>252</v>
      </c>
      <c r="D10" s="68" t="s">
        <v>265</v>
      </c>
      <c r="E10" s="67" t="s">
        <v>289</v>
      </c>
      <c r="F10" s="69" t="s">
        <v>280</v>
      </c>
      <c r="G10" s="70" t="s">
        <v>299</v>
      </c>
    </row>
    <row r="11" spans="8:8" ht="16.5" customHeight="1">
      <c r="A11" s="61">
        <v>4.0</v>
      </c>
      <c r="B11" s="62" t="s">
        <v>243</v>
      </c>
      <c r="C11" s="71" t="s">
        <v>254</v>
      </c>
      <c r="D11" s="72" t="s">
        <v>264</v>
      </c>
      <c r="E11" s="67" t="s">
        <v>288</v>
      </c>
      <c r="F11" s="73" t="s">
        <v>279</v>
      </c>
      <c r="G11" s="66" t="s">
        <v>296</v>
      </c>
    </row>
    <row r="12" spans="8:8" ht="16.5" customHeight="1">
      <c r="A12" s="61">
        <v>5.0</v>
      </c>
      <c r="B12" s="62" t="s">
        <v>244</v>
      </c>
      <c r="C12" s="74" t="s">
        <v>253</v>
      </c>
      <c r="D12" s="75" t="s">
        <v>266</v>
      </c>
      <c r="E12" s="76" t="s">
        <v>291</v>
      </c>
      <c r="F12" s="73" t="s">
        <v>276</v>
      </c>
      <c r="G12" s="77" t="s">
        <v>301</v>
      </c>
    </row>
    <row r="13" spans="8:8" ht="16.5" customHeight="1">
      <c r="A13" s="61">
        <v>6.0</v>
      </c>
      <c r="B13" s="62" t="s">
        <v>245</v>
      </c>
      <c r="C13" s="78" t="s">
        <v>256</v>
      </c>
      <c r="D13" s="75" t="s">
        <v>267</v>
      </c>
      <c r="E13" s="65" t="s">
        <v>283</v>
      </c>
      <c r="F13" s="79" t="s">
        <v>273</v>
      </c>
      <c r="G13" s="70" t="s">
        <v>297</v>
      </c>
    </row>
    <row r="14" spans="8:8" ht="16.5" customHeight="1">
      <c r="A14" s="61">
        <v>7.0</v>
      </c>
      <c r="B14" s="62" t="s">
        <v>246</v>
      </c>
      <c r="C14" s="80" t="s">
        <v>257</v>
      </c>
      <c r="D14" s="81" t="s">
        <v>269</v>
      </c>
      <c r="E14" s="82" t="s">
        <v>286</v>
      </c>
      <c r="F14" s="65" t="s">
        <v>274</v>
      </c>
      <c r="G14" s="65" t="s">
        <v>293</v>
      </c>
    </row>
    <row r="15" spans="8:8" ht="16.5" customHeight="1">
      <c r="A15" s="61">
        <v>8.0</v>
      </c>
      <c r="B15" s="62" t="s">
        <v>247</v>
      </c>
      <c r="C15" s="80" t="s">
        <v>258</v>
      </c>
      <c r="D15" s="65" t="s">
        <v>268</v>
      </c>
      <c r="E15" s="83" t="s">
        <v>284</v>
      </c>
      <c r="F15" s="73" t="s">
        <v>278</v>
      </c>
      <c r="G15" s="70" t="s">
        <v>298</v>
      </c>
    </row>
    <row r="16" spans="8:8" ht="16.5" customHeight="1">
      <c r="A16" s="61">
        <v>9.0</v>
      </c>
      <c r="B16" s="62" t="s">
        <v>248</v>
      </c>
      <c r="C16" s="84" t="s">
        <v>259</v>
      </c>
      <c r="D16" s="81" t="s">
        <v>271</v>
      </c>
      <c r="E16" s="67" t="s">
        <v>287</v>
      </c>
      <c r="F16" s="73" t="s">
        <v>277</v>
      </c>
      <c r="G16" s="66" t="s">
        <v>292</v>
      </c>
    </row>
    <row r="17" spans="8:8" ht="16.5" customHeight="1">
      <c r="A17" s="61">
        <v>10.0</v>
      </c>
      <c r="B17" s="62" t="s">
        <v>249</v>
      </c>
      <c r="C17" s="85" t="s">
        <v>260</v>
      </c>
      <c r="D17" s="86" t="s">
        <v>270</v>
      </c>
      <c r="E17" s="82" t="s">
        <v>285</v>
      </c>
      <c r="F17" s="79" t="s">
        <v>272</v>
      </c>
      <c r="G17" s="77" t="s">
        <v>300</v>
      </c>
    </row>
    <row r="18" spans="8:8" ht="16.5" customHeight="1">
      <c r="A18" s="55"/>
      <c r="B18" s="87"/>
      <c r="C18" s="87"/>
      <c r="D18" s="87"/>
      <c r="E18" s="87"/>
      <c r="F18" s="87"/>
      <c r="G18" s="87"/>
    </row>
    <row r="19" spans="8:8" ht="16.5" customHeight="1">
      <c r="A19" s="55"/>
      <c r="B19" s="87"/>
      <c r="C19" s="87"/>
      <c r="D19" s="87"/>
      <c r="E19" s="87"/>
      <c r="F19" s="87"/>
      <c r="G19" s="87"/>
    </row>
    <row r="20" spans="8:8" ht="16.5" customHeight="1">
      <c r="A20" s="55"/>
      <c r="B20" s="87"/>
      <c r="C20" s="87"/>
      <c r="D20" s="87"/>
      <c r="E20" s="87"/>
      <c r="F20" s="87"/>
      <c r="G20" s="87"/>
    </row>
    <row r="21" spans="8:8" ht="16.5" customHeight="1">
      <c r="A21" s="87"/>
      <c r="B21" s="87"/>
      <c r="C21" s="87"/>
      <c r="D21" s="87"/>
      <c r="E21" s="87"/>
      <c r="F21" s="87"/>
      <c r="G21" s="87"/>
    </row>
    <row r="22" spans="8:8" ht="16.5" customHeight="1">
      <c r="A22" s="87"/>
      <c r="B22" s="87"/>
      <c r="C22" s="87"/>
      <c r="D22" s="87"/>
      <c r="E22" s="87"/>
      <c r="F22" s="87"/>
      <c r="G22" s="87"/>
    </row>
    <row r="23" spans="8:8" ht="16.5" customHeight="1">
      <c r="A23" s="87"/>
      <c r="B23" s="87"/>
      <c r="C23" s="87"/>
      <c r="D23" s="87"/>
      <c r="E23" s="87"/>
      <c r="F23" s="87"/>
      <c r="G23" s="87"/>
    </row>
    <row r="24" spans="8:8" ht="16.5" customHeight="1">
      <c r="A24" s="87"/>
      <c r="B24" s="87"/>
      <c r="C24" s="87"/>
      <c r="D24" s="87"/>
      <c r="E24" s="87"/>
      <c r="F24" s="87"/>
      <c r="G24" s="87"/>
    </row>
    <row r="25" spans="8:8" ht="16.5" customHeight="1">
      <c r="A25" s="87"/>
      <c r="B25" s="87"/>
      <c r="C25" s="87"/>
      <c r="D25" s="87"/>
      <c r="E25" s="87"/>
      <c r="F25" s="87"/>
      <c r="G25" s="87"/>
    </row>
    <row r="26" spans="8:8" ht="16.5" customHeight="1">
      <c r="A26" s="87"/>
      <c r="B26" s="87"/>
      <c r="C26" s="87"/>
      <c r="D26" s="87"/>
      <c r="E26" s="87"/>
      <c r="F26" s="87"/>
      <c r="G26" s="87"/>
    </row>
    <row r="27" spans="8:8" ht="16.5" customHeight="1">
      <c r="A27" s="87"/>
      <c r="B27" s="87"/>
      <c r="C27" s="87"/>
      <c r="D27" s="87"/>
      <c r="E27" s="87"/>
      <c r="F27" s="87"/>
      <c r="G27" s="87"/>
    </row>
    <row r="28" spans="8:8" ht="16.5" customHeight="1">
      <c r="A28" s="87"/>
      <c r="B28" s="87"/>
      <c r="C28" s="87"/>
      <c r="D28" s="87"/>
      <c r="E28" s="87"/>
      <c r="F28" s="87"/>
      <c r="G28" s="87"/>
    </row>
    <row r="29" spans="8:8" ht="16.5" customHeight="1">
      <c r="A29" s="87"/>
      <c r="B29" s="87"/>
      <c r="C29" s="87"/>
      <c r="D29" s="87"/>
      <c r="E29" s="87"/>
      <c r="F29" s="87"/>
      <c r="G29" s="87"/>
    </row>
    <row r="30" spans="8:8" ht="16.5" customHeight="1">
      <c r="A30" s="87"/>
      <c r="B30" s="87"/>
      <c r="C30" s="87"/>
      <c r="D30" s="87"/>
      <c r="E30" s="87"/>
      <c r="F30" s="87"/>
      <c r="G30" s="87"/>
    </row>
    <row r="31" spans="8:8" ht="16.5" customHeight="1">
      <c r="A31" s="87"/>
      <c r="B31" s="87"/>
      <c r="C31" s="87"/>
      <c r="D31" s="87"/>
      <c r="E31" s="87"/>
      <c r="F31" s="87"/>
      <c r="G31" s="87"/>
    </row>
    <row r="32" spans="8:8" ht="16.5" customHeight="1">
      <c r="A32" s="87"/>
      <c r="B32" s="87"/>
      <c r="C32" s="87"/>
      <c r="D32" s="87"/>
      <c r="E32" s="87"/>
      <c r="F32" s="87"/>
      <c r="G32" s="87"/>
    </row>
  </sheetData>
  <mergeCells count="1">
    <mergeCell ref="A6:G6"/>
  </mergeCells>
  <hyperlinks>
    <hyperlink ref="C8" r:id="rId1"/>
    <hyperlink ref="C9" r:id="rId2"/>
    <hyperlink ref="C10" r:id="rId3"/>
    <hyperlink ref="C12" r:id="rId4"/>
    <hyperlink ref="C11" r:id="rId5"/>
    <hyperlink ref="C13" r:id="rId6"/>
    <hyperlink ref="C14" r:id="rId7"/>
    <hyperlink ref="C15" r:id="rId8"/>
    <hyperlink ref="C16" r:id="rId9"/>
    <hyperlink ref="C17" r:id="rId10"/>
    <hyperlink ref="D8" r:id="rId11"/>
    <hyperlink ref="D9" r:id="rId12"/>
    <hyperlink ref="D11" r:id="rId13"/>
    <hyperlink ref="D10" r:id="rId14"/>
    <hyperlink ref="D12" r:id="rId15"/>
    <hyperlink ref="D13" r:id="rId16"/>
    <hyperlink ref="D15" r:id="rId17"/>
    <hyperlink ref="D14" r:id="rId18"/>
    <hyperlink ref="D17" r:id="rId19"/>
    <hyperlink ref="D16" r:id="rId20"/>
    <hyperlink ref="F17" r:id="rId21"/>
    <hyperlink ref="F13" r:id="rId22"/>
    <hyperlink ref="F14" r:id="rId23"/>
    <hyperlink ref="F9" r:id="rId24"/>
    <hyperlink ref="F12" r:id="rId25"/>
    <hyperlink ref="F16" r:id="rId26"/>
    <hyperlink ref="F15" r:id="rId27"/>
    <hyperlink ref="F11" r:id="rId28"/>
    <hyperlink ref="F10" r:id="rId29"/>
    <hyperlink ref="F8" r:id="rId30"/>
    <hyperlink ref="E8" r:id="rId31"/>
    <hyperlink ref="E13" r:id="rId32"/>
    <hyperlink ref="E15" r:id="rId33"/>
    <hyperlink ref="E17" r:id="rId34"/>
    <hyperlink ref="E14" r:id="rId35"/>
    <hyperlink ref="E16" r:id="rId36"/>
    <hyperlink ref="E11" r:id="rId37"/>
    <hyperlink ref="E10" r:id="rId38"/>
    <hyperlink ref="E9" r:id="rId39"/>
    <hyperlink ref="E12" r:id="rId40"/>
    <hyperlink ref="G16" r:id="rId41"/>
    <hyperlink ref="G14" r:id="rId42"/>
    <hyperlink ref="G9" r:id="rId43"/>
    <hyperlink ref="G8" r:id="rId44"/>
    <hyperlink ref="G11" r:id="rId45"/>
    <hyperlink ref="G13" r:id="rId46"/>
    <hyperlink ref="G15" r:id="rId47"/>
    <hyperlink ref="G10" r:id="rId48"/>
    <hyperlink ref="G17" r:id="rId49"/>
    <hyperlink ref="G12" r:id="rId50"/>
  </hyperlinks>
  <pageMargins left="0.7" right="0.7" top="0.75" bottom="0.75" header="0.511811023622047" footer="0.511811023622047"/>
</worksheet>
</file>

<file path=xl/worksheets/sheet9.xml><?xml version="1.0" encoding="utf-8"?>
<worksheet xmlns:r="http://schemas.openxmlformats.org/officeDocument/2006/relationships" xmlns="http://schemas.openxmlformats.org/spreadsheetml/2006/main">
  <dimension ref="A1:ER59"/>
  <sheetViews>
    <sheetView workbookViewId="0" topLeftCell="B28" zoomScale="32">
      <selection activeCell="E59" sqref="E59"/>
    </sheetView>
  </sheetViews>
  <sheetFormatPr defaultRowHeight="12.5" defaultColWidth="10"/>
  <cols>
    <col min="1" max="1" customWidth="1" width="5.1796875" style="0"/>
    <col min="2" max="2" customWidth="1" width="37.54297" style="0"/>
    <col min="3" max="3" customWidth="1" bestFit="1" width="10.722656" style="0"/>
    <col min="4" max="4" customWidth="1" width="53.36328" style="0"/>
    <col min="5" max="5" customWidth="1" width="46.089844" style="0"/>
    <col min="6" max="6" customWidth="1" width="46.632812" style="0"/>
    <col min="7" max="7" customWidth="1" width="29.363281" style="0"/>
    <col min="8" max="8" customWidth="1" width="30.632812" style="0"/>
    <col min="10" max="10" customWidth="1" width="24.0" style="0"/>
    <col min="11" max="11" customWidth="1" width="10.0" style="0"/>
  </cols>
  <sheetData>
    <row r="1" spans="8:8" ht="19.5" customHeight="1">
      <c r="A1" s="88" t="s">
        <v>95</v>
      </c>
      <c r="B1" s="88"/>
      <c r="C1" s="88"/>
      <c r="D1" s="88"/>
      <c r="E1" s="88"/>
      <c r="F1" s="88"/>
      <c r="G1" s="88"/>
      <c r="H1" s="88"/>
    </row>
    <row r="2" spans="8:8" ht="19.5" customHeight="1">
      <c r="A2" s="88"/>
      <c r="B2" s="88"/>
      <c r="C2" s="88"/>
      <c r="D2" s="88"/>
      <c r="E2" s="88"/>
      <c r="F2" s="88"/>
      <c r="G2" s="88"/>
      <c r="H2" s="88"/>
    </row>
    <row r="3" spans="8:8" ht="19.5" customHeight="1">
      <c r="A3" s="89" t="s">
        <v>88</v>
      </c>
      <c r="B3" s="90" t="s">
        <v>96</v>
      </c>
      <c r="C3" s="91" t="s">
        <v>97</v>
      </c>
      <c r="D3" s="91" t="s">
        <v>98</v>
      </c>
      <c r="E3" s="91" t="s">
        <v>99</v>
      </c>
      <c r="F3" s="92" t="s">
        <v>100</v>
      </c>
      <c r="G3" s="91" t="s">
        <v>101</v>
      </c>
      <c r="H3" s="91" t="s">
        <v>102</v>
      </c>
    </row>
    <row r="4" spans="8:8" ht="176.25" customHeight="1">
      <c r="B4" s="93" t="s">
        <v>103</v>
      </c>
      <c r="E4" s="94" t="s">
        <v>104</v>
      </c>
      <c r="F4" s="95" t="s">
        <v>105</v>
      </c>
      <c r="G4" s="96" t="s">
        <v>106</v>
      </c>
      <c r="H4" s="97" t="s">
        <v>107</v>
      </c>
    </row>
    <row r="5" spans="8:8" ht="19.5" customHeight="1">
      <c r="B5" s="98" t="s">
        <v>108</v>
      </c>
      <c r="E5" s="94"/>
      <c r="F5" s="95" t="s">
        <v>109</v>
      </c>
      <c r="G5" s="99"/>
      <c r="H5" s="99"/>
    </row>
    <row r="6" spans="8:8" ht="19.5" customHeight="1">
      <c r="B6" s="100" t="s">
        <v>110</v>
      </c>
      <c r="E6" s="94"/>
      <c r="F6" s="95" t="s">
        <v>111</v>
      </c>
      <c r="G6" s="99"/>
      <c r="H6" s="99"/>
    </row>
    <row r="7" spans="8:8" ht="19.5" customHeight="1">
      <c r="B7" s="101" t="s">
        <v>112</v>
      </c>
      <c r="E7" s="94"/>
      <c r="F7" s="95" t="s">
        <v>113</v>
      </c>
      <c r="G7" s="99"/>
      <c r="H7" s="99"/>
    </row>
    <row r="8" spans="8:8" ht="19.5" customHeight="1">
      <c r="B8" s="102" t="s">
        <v>114</v>
      </c>
      <c r="E8" s="94"/>
      <c r="F8" s="95" t="s">
        <v>115</v>
      </c>
      <c r="G8" s="99"/>
      <c r="H8" s="99"/>
    </row>
    <row r="9" spans="8:8" ht="19.5" customHeight="1">
      <c r="B9" s="103" t="s">
        <v>116</v>
      </c>
      <c r="E9" s="94"/>
      <c r="F9" s="95" t="s">
        <v>117</v>
      </c>
      <c r="G9" s="99"/>
      <c r="H9" s="99"/>
    </row>
    <row r="10" spans="8:8" ht="19.5" customHeight="1">
      <c r="B10" s="104" t="s">
        <v>118</v>
      </c>
      <c r="E10" s="94"/>
      <c r="F10" s="95" t="s">
        <v>119</v>
      </c>
      <c r="G10" s="99"/>
      <c r="H10" s="99"/>
    </row>
    <row r="11" spans="8:8" ht="19.5" customHeight="1">
      <c r="B11" s="105" t="s">
        <v>120</v>
      </c>
      <c r="E11" s="94"/>
      <c r="F11" s="95" t="s">
        <v>121</v>
      </c>
      <c r="G11" s="99"/>
      <c r="H11" s="99"/>
    </row>
    <row r="12" spans="8:8" ht="19.5" customHeight="1">
      <c r="B12" s="106" t="s">
        <v>122</v>
      </c>
      <c r="E12" s="94"/>
      <c r="F12" s="95" t="s">
        <v>123</v>
      </c>
      <c r="G12" s="99"/>
      <c r="H12" s="99"/>
    </row>
    <row r="13" spans="8:8" ht="19.5" customHeight="1">
      <c r="B13" s="107" t="s">
        <v>124</v>
      </c>
      <c r="E13" s="94"/>
      <c r="G13" s="99"/>
      <c r="H13" s="99"/>
    </row>
    <row r="14" spans="8:8" ht="19.5" customHeight="1">
      <c r="B14" s="108" t="s">
        <v>125</v>
      </c>
      <c r="E14" s="94"/>
      <c r="G14" s="99"/>
      <c r="H14" s="99"/>
    </row>
    <row r="15" spans="8:8" ht="19.5" customHeight="1">
      <c r="B15" s="109" t="s">
        <v>126</v>
      </c>
      <c r="E15" s="94"/>
      <c r="G15" s="99"/>
      <c r="H15" s="99"/>
    </row>
    <row r="16" spans="8:8" ht="19.5" customHeight="1">
      <c r="B16" s="110" t="s">
        <v>127</v>
      </c>
      <c r="E16" s="94"/>
      <c r="G16" s="99"/>
      <c r="H16" s="99"/>
    </row>
    <row r="17" spans="8:8" ht="19.5" customHeight="1">
      <c r="B17" s="111" t="s">
        <v>128</v>
      </c>
      <c r="E17" s="94"/>
      <c r="G17" s="99"/>
      <c r="H17" s="99"/>
    </row>
    <row r="18" spans="8:8" ht="19.5" customHeight="1">
      <c r="B18" s="112" t="s">
        <v>129</v>
      </c>
      <c r="E18" s="94"/>
      <c r="G18" s="99"/>
      <c r="H18" s="99"/>
    </row>
    <row r="19" spans="8:8" ht="19.5" customHeight="1">
      <c r="B19" s="113" t="s">
        <v>130</v>
      </c>
      <c r="E19" s="94"/>
      <c r="G19" s="99"/>
      <c r="H19" s="99"/>
    </row>
    <row r="20" spans="8:8" ht="19.5" customHeight="1">
      <c r="B20" s="114" t="s">
        <v>131</v>
      </c>
      <c r="E20" s="94"/>
      <c r="G20" s="99"/>
      <c r="H20" s="99"/>
    </row>
    <row r="21" spans="8:8" ht="19.5" customHeight="1">
      <c r="B21" s="115" t="s">
        <v>132</v>
      </c>
      <c r="E21" s="94"/>
      <c r="G21" s="99"/>
      <c r="H21" s="99"/>
    </row>
    <row r="22" spans="8:8" ht="19.5" customHeight="1">
      <c r="B22" s="116" t="s">
        <v>133</v>
      </c>
      <c r="E22" s="94"/>
      <c r="G22" s="99"/>
      <c r="H22" s="99"/>
    </row>
    <row r="23" spans="8:8" ht="19.5" customHeight="1">
      <c r="B23" s="117" t="s">
        <v>134</v>
      </c>
      <c r="E23" s="94"/>
      <c r="G23" s="99"/>
      <c r="H23" s="99"/>
    </row>
    <row r="24" spans="8:8" ht="19.5" customHeight="1">
      <c r="A24" s="89" t="s">
        <v>88</v>
      </c>
      <c r="B24" s="91" t="s">
        <v>135</v>
      </c>
      <c r="C24" s="91" t="s">
        <v>97</v>
      </c>
      <c r="D24" s="91" t="s">
        <v>98</v>
      </c>
      <c r="E24" s="91" t="s">
        <v>99</v>
      </c>
      <c r="F24" s="91" t="s">
        <v>136</v>
      </c>
      <c r="G24" s="91" t="s">
        <v>101</v>
      </c>
      <c r="H24" s="91" t="s">
        <v>102</v>
      </c>
    </row>
    <row r="25" spans="8:8" ht="203.25" customHeight="1">
      <c r="A25">
        <v>1.0</v>
      </c>
      <c r="B25" s="118" t="s">
        <v>128</v>
      </c>
      <c r="C25" t="s">
        <v>137</v>
      </c>
      <c r="D25" t="s">
        <v>137</v>
      </c>
      <c r="E25" s="119" t="s">
        <v>138</v>
      </c>
      <c r="F25" t="s">
        <v>139</v>
      </c>
      <c r="G25" s="120" t="s">
        <v>140</v>
      </c>
      <c r="H25" s="95" t="s">
        <v>141</v>
      </c>
    </row>
    <row r="26" spans="8:8" ht="184.5" customHeight="1">
      <c r="A26">
        <v>2.0</v>
      </c>
      <c r="B26" s="93" t="s">
        <v>103</v>
      </c>
      <c r="C26" s="121" t="s">
        <v>161</v>
      </c>
      <c r="D26" s="122">
        <v>0.708333333333333</v>
      </c>
      <c r="E26" s="120" t="s">
        <v>142</v>
      </c>
      <c r="F26" s="95" t="s">
        <v>143</v>
      </c>
      <c r="G26" s="120" t="s">
        <v>144</v>
      </c>
      <c r="H26" s="123" t="s">
        <v>162</v>
      </c>
    </row>
    <row r="27" spans="8:8" ht="19.5" customHeight="1">
      <c r="A27" s="88" t="s">
        <v>95</v>
      </c>
      <c r="B27" s="88"/>
      <c r="C27" s="88"/>
      <c r="D27" s="88"/>
      <c r="E27" s="88"/>
      <c r="F27" s="88"/>
      <c r="G27" s="88"/>
      <c r="H27" s="88"/>
    </row>
    <row r="28" spans="8:8" ht="19.5" customHeight="1">
      <c r="A28" s="88"/>
      <c r="B28" s="88"/>
      <c r="C28" s="88"/>
      <c r="D28" s="88"/>
      <c r="E28" s="88"/>
      <c r="F28" s="88"/>
      <c r="G28" s="88"/>
      <c r="H28" s="88"/>
    </row>
    <row r="29" spans="8:8" ht="19.5" customHeight="1">
      <c r="A29" s="89" t="s">
        <v>88</v>
      </c>
      <c r="B29" s="91" t="s">
        <v>135</v>
      </c>
      <c r="C29" s="91" t="s">
        <v>97</v>
      </c>
      <c r="D29" s="91" t="s">
        <v>98</v>
      </c>
      <c r="E29" s="91" t="s">
        <v>99</v>
      </c>
      <c r="F29" s="91" t="s">
        <v>136</v>
      </c>
      <c r="G29" s="91" t="s">
        <v>101</v>
      </c>
      <c r="H29" s="91" t="s">
        <v>102</v>
      </c>
      <c r="J29" s="124" t="s">
        <v>145</v>
      </c>
      <c r="K29" s="124"/>
    </row>
    <row r="30" spans="8:8" ht="19.5" customHeight="1">
      <c r="A30" s="125">
        <v>1.0</v>
      </c>
      <c r="B30" s="126" t="s">
        <v>122</v>
      </c>
      <c r="C30" s="127">
        <v>46214.0</v>
      </c>
      <c r="D30" s="128">
        <v>0.7083333333333334</v>
      </c>
      <c r="E30" s="126" t="s">
        <v>307</v>
      </c>
      <c r="F30" s="126" t="s">
        <v>143</v>
      </c>
      <c r="G30" s="126" t="s">
        <v>308</v>
      </c>
      <c r="H30" s="126" t="s">
        <v>375</v>
      </c>
      <c r="J30" s="3" t="s">
        <v>146</v>
      </c>
      <c r="K30" s="30">
        <f>COUNTA(B30:B59)</f>
        <v>30.0</v>
      </c>
    </row>
    <row r="31" spans="8:8" ht="19.5" customHeight="1">
      <c r="A31" s="125">
        <v>2.0</v>
      </c>
      <c r="B31" s="126" t="s">
        <v>122</v>
      </c>
      <c r="C31" s="129">
        <v>46214.0</v>
      </c>
      <c r="D31" s="130">
        <v>0.75</v>
      </c>
      <c r="E31" s="126" t="s">
        <v>315</v>
      </c>
      <c r="F31" s="126" t="s">
        <v>143</v>
      </c>
      <c r="G31" s="126" t="s">
        <v>316</v>
      </c>
      <c r="H31" s="126" t="s">
        <v>141</v>
      </c>
      <c r="J31" s="3" t="s">
        <v>147</v>
      </c>
      <c r="K31" s="30">
        <f>COUNTA(E30:E59)</f>
        <v>30.0</v>
      </c>
    </row>
    <row r="32" spans="8:8" ht="19.5" customHeight="1">
      <c r="A32" s="125">
        <v>3.0</v>
      </c>
      <c r="B32" s="126" t="s">
        <v>303</v>
      </c>
      <c r="C32" s="131">
        <v>46215.0</v>
      </c>
      <c r="D32" s="132">
        <v>0.7083333333333334</v>
      </c>
      <c r="E32" s="126" t="s">
        <v>318</v>
      </c>
      <c r="F32" s="126" t="s">
        <v>143</v>
      </c>
      <c r="G32" s="126" t="s">
        <v>317</v>
      </c>
      <c r="H32" s="126" t="s">
        <v>141</v>
      </c>
      <c r="J32" s="3" t="s">
        <v>148</v>
      </c>
      <c r="K32" s="30">
        <f>COUNTA(H30:H59)</f>
        <v>30.0</v>
      </c>
    </row>
    <row r="33" spans="8:8" ht="19.5" customHeight="1">
      <c r="A33" s="125">
        <v>4.0</v>
      </c>
      <c r="B33" s="126" t="s">
        <v>122</v>
      </c>
      <c r="C33" s="133">
        <v>46215.0</v>
      </c>
      <c r="D33" s="134">
        <v>0.75</v>
      </c>
      <c r="E33" s="126" t="s">
        <v>319</v>
      </c>
      <c r="F33" s="126" t="s">
        <v>143</v>
      </c>
      <c r="G33" s="126" t="s">
        <v>320</v>
      </c>
      <c r="H33" s="126" t="s">
        <v>141</v>
      </c>
      <c r="J33" s="3" t="s">
        <v>149</v>
      </c>
      <c r="K33" s="30">
        <v>30.0</v>
      </c>
    </row>
    <row r="34" spans="8:8" ht="19.5" customHeight="1">
      <c r="A34" s="125">
        <v>5.0</v>
      </c>
      <c r="B34" s="126" t="s">
        <v>122</v>
      </c>
      <c r="C34" s="135">
        <v>46216.0</v>
      </c>
      <c r="D34" s="136">
        <v>0.7083333333333334</v>
      </c>
      <c r="E34" s="126" t="s">
        <v>321</v>
      </c>
      <c r="F34" s="126" t="s">
        <v>143</v>
      </c>
      <c r="G34" s="126" t="s">
        <v>322</v>
      </c>
      <c r="H34" s="126" t="s">
        <v>141</v>
      </c>
      <c r="J34" s="3" t="s">
        <v>6</v>
      </c>
      <c r="K34" s="37">
        <f>K30/K33</f>
        <v>1.0</v>
      </c>
    </row>
    <row r="35" spans="8:8" ht="19.5" customHeight="1">
      <c r="A35" s="125">
        <v>6.0</v>
      </c>
      <c r="B35" s="126" t="s">
        <v>304</v>
      </c>
      <c r="C35" s="137">
        <v>46216.0</v>
      </c>
      <c r="D35" s="138">
        <v>0.75</v>
      </c>
      <c r="E35" s="126" t="s">
        <v>323</v>
      </c>
      <c r="F35" s="126" t="s">
        <v>143</v>
      </c>
      <c r="G35" s="126" t="s">
        <v>324</v>
      </c>
      <c r="H35" s="126" t="s">
        <v>141</v>
      </c>
    </row>
    <row r="36" spans="8:8" ht="19.5" customHeight="1">
      <c r="A36" s="125">
        <v>7.0</v>
      </c>
      <c r="B36" s="126" t="s">
        <v>116</v>
      </c>
      <c r="C36" s="139">
        <v>46217.0</v>
      </c>
      <c r="D36" s="140">
        <v>0.7083333333333334</v>
      </c>
      <c r="E36" s="126" t="s">
        <v>325</v>
      </c>
      <c r="F36" s="126" t="s">
        <v>143</v>
      </c>
      <c r="G36" s="126" t="s">
        <v>326</v>
      </c>
      <c r="H36" s="126" t="s">
        <v>141</v>
      </c>
    </row>
    <row r="37" spans="8:8" ht="19.5" customHeight="1">
      <c r="A37" s="125">
        <v>8.0</v>
      </c>
      <c r="B37" s="126" t="s">
        <v>116</v>
      </c>
      <c r="C37" s="141">
        <v>46217.0</v>
      </c>
      <c r="D37" s="142">
        <v>0.75</v>
      </c>
      <c r="E37" s="126" t="s">
        <v>327</v>
      </c>
      <c r="F37" s="126" t="s">
        <v>314</v>
      </c>
      <c r="G37" s="126" t="s">
        <v>328</v>
      </c>
      <c r="H37" s="126" t="s">
        <v>141</v>
      </c>
    </row>
    <row r="38" spans="8:8" ht="19.5" customHeight="1">
      <c r="A38" s="125">
        <v>9.0</v>
      </c>
      <c r="B38" s="126" t="s">
        <v>127</v>
      </c>
      <c r="C38" s="143">
        <v>46218.0</v>
      </c>
      <c r="D38" s="144">
        <v>0.7083333333333334</v>
      </c>
      <c r="E38" s="126" t="s">
        <v>329</v>
      </c>
      <c r="F38" s="126" t="s">
        <v>143</v>
      </c>
      <c r="G38" s="126" t="s">
        <v>330</v>
      </c>
      <c r="H38" s="126" t="s">
        <v>141</v>
      </c>
    </row>
    <row r="39" spans="8:8" ht="19.5" customHeight="1">
      <c r="A39" s="125">
        <v>10.0</v>
      </c>
      <c r="B39" s="126" t="s">
        <v>112</v>
      </c>
      <c r="C39" s="145">
        <v>46218.0</v>
      </c>
      <c r="D39" s="146">
        <v>0.75</v>
      </c>
      <c r="E39" s="126" t="s">
        <v>331</v>
      </c>
      <c r="F39" s="126" t="s">
        <v>143</v>
      </c>
      <c r="G39" s="126" t="s">
        <v>332</v>
      </c>
      <c r="H39" s="126" t="s">
        <v>141</v>
      </c>
    </row>
    <row r="40" spans="8:8" ht="19.5" customHeight="1">
      <c r="A40" s="125">
        <v>11.0</v>
      </c>
      <c r="B40" s="126" t="s">
        <v>116</v>
      </c>
      <c r="C40" s="147">
        <v>46218.0</v>
      </c>
      <c r="D40" s="148">
        <v>0.7916666666666666</v>
      </c>
      <c r="E40" s="126" t="s">
        <v>333</v>
      </c>
      <c r="F40" s="126" t="s">
        <v>143</v>
      </c>
      <c r="G40" s="126" t="s">
        <v>334</v>
      </c>
      <c r="H40" s="126" t="s">
        <v>141</v>
      </c>
    </row>
    <row r="41" spans="8:8" ht="19.5" customHeight="1">
      <c r="A41" s="125">
        <v>12.0</v>
      </c>
      <c r="B41" s="126" t="s">
        <v>127</v>
      </c>
      <c r="C41" s="149">
        <v>46219.0</v>
      </c>
      <c r="D41" s="150">
        <v>0.7083333333333334</v>
      </c>
      <c r="E41" s="126" t="s">
        <v>335</v>
      </c>
      <c r="F41" s="126" t="s">
        <v>143</v>
      </c>
      <c r="G41" s="126" t="s">
        <v>336</v>
      </c>
      <c r="H41" s="126" t="s">
        <v>141</v>
      </c>
    </row>
    <row r="42" spans="8:8" ht="19.5" customHeight="1">
      <c r="A42" s="125">
        <v>13.0</v>
      </c>
      <c r="B42" s="126" t="s">
        <v>116</v>
      </c>
      <c r="C42" s="151">
        <v>46219.0</v>
      </c>
      <c r="D42" s="152">
        <v>0.75</v>
      </c>
      <c r="E42" s="126" t="s">
        <v>337</v>
      </c>
      <c r="F42" s="126" t="s">
        <v>143</v>
      </c>
      <c r="G42" s="126" t="s">
        <v>338</v>
      </c>
      <c r="H42" s="126" t="s">
        <v>141</v>
      </c>
    </row>
    <row r="43" spans="8:8" ht="19.5" customHeight="1">
      <c r="A43" s="125">
        <v>14.0</v>
      </c>
      <c r="B43" s="126" t="s">
        <v>127</v>
      </c>
      <c r="C43" s="153">
        <v>46219.0</v>
      </c>
      <c r="D43" s="154">
        <v>0.7916666666666666</v>
      </c>
      <c r="E43" s="126" t="s">
        <v>339</v>
      </c>
      <c r="F43" s="126" t="s">
        <v>143</v>
      </c>
      <c r="G43" s="126" t="s">
        <v>340</v>
      </c>
      <c r="H43" s="126" t="s">
        <v>141</v>
      </c>
    </row>
    <row r="44" spans="8:8" ht="19.5" customHeight="1">
      <c r="A44" s="125">
        <v>15.0</v>
      </c>
      <c r="B44" s="126" t="s">
        <v>116</v>
      </c>
      <c r="C44" s="155">
        <v>46220.0</v>
      </c>
      <c r="D44" s="156">
        <v>0.75</v>
      </c>
      <c r="E44" s="126" t="s">
        <v>341</v>
      </c>
      <c r="F44" s="126" t="s">
        <v>143</v>
      </c>
      <c r="G44" s="126" t="s">
        <v>342</v>
      </c>
      <c r="H44" s="126" t="s">
        <v>141</v>
      </c>
    </row>
    <row r="45" spans="8:8" ht="19.5" customHeight="1">
      <c r="A45" s="125">
        <v>16.0</v>
      </c>
      <c r="B45" s="126" t="s">
        <v>127</v>
      </c>
      <c r="C45" s="157">
        <v>46220.0</v>
      </c>
      <c r="D45" s="158">
        <v>0.8125</v>
      </c>
      <c r="E45" s="126" t="s">
        <v>343</v>
      </c>
      <c r="F45" s="126" t="s">
        <v>143</v>
      </c>
      <c r="G45" s="126" t="s">
        <v>344</v>
      </c>
      <c r="H45" s="126" t="s">
        <v>141</v>
      </c>
    </row>
    <row r="46" spans="8:8" ht="19.5" customHeight="1">
      <c r="A46" s="125">
        <v>17.0</v>
      </c>
      <c r="B46" s="126" t="s">
        <v>127</v>
      </c>
      <c r="C46" s="159">
        <v>46221.0</v>
      </c>
      <c r="D46" s="160">
        <v>0.7291666666666667</v>
      </c>
      <c r="E46" s="126" t="s">
        <v>345</v>
      </c>
      <c r="F46" s="126" t="s">
        <v>143</v>
      </c>
      <c r="G46" s="126" t="s">
        <v>346</v>
      </c>
      <c r="H46" s="126" t="s">
        <v>141</v>
      </c>
    </row>
    <row r="47" spans="8:8" ht="19.5" customHeight="1">
      <c r="A47" s="125">
        <v>18.0</v>
      </c>
      <c r="B47" s="126" t="s">
        <v>112</v>
      </c>
      <c r="C47" s="161">
        <v>46221.0</v>
      </c>
      <c r="D47" s="162">
        <v>0.75</v>
      </c>
      <c r="E47" s="126" t="s">
        <v>347</v>
      </c>
      <c r="F47" s="126" t="s">
        <v>143</v>
      </c>
      <c r="G47" s="126" t="s">
        <v>348</v>
      </c>
      <c r="H47" s="126" t="s">
        <v>141</v>
      </c>
    </row>
    <row r="48" spans="8:8" ht="19.5" customHeight="1">
      <c r="A48" s="125">
        <v>19.0</v>
      </c>
      <c r="B48" s="126" t="s">
        <v>116</v>
      </c>
      <c r="C48" s="163">
        <v>46222.0</v>
      </c>
      <c r="D48" s="164">
        <v>0.7916666666666666</v>
      </c>
      <c r="E48" s="126" t="s">
        <v>349</v>
      </c>
      <c r="F48" s="126" t="s">
        <v>143</v>
      </c>
      <c r="G48" s="126" t="s">
        <v>350</v>
      </c>
      <c r="H48" s="126" t="s">
        <v>141</v>
      </c>
    </row>
    <row r="49" spans="8:8" ht="19.5" customHeight="1">
      <c r="A49" s="125">
        <v>20.0</v>
      </c>
      <c r="B49" s="126" t="s">
        <v>122</v>
      </c>
      <c r="C49" s="165">
        <v>46222.0</v>
      </c>
      <c r="D49" s="166">
        <v>0.8333333333333334</v>
      </c>
      <c r="E49" s="126" t="s">
        <v>351</v>
      </c>
      <c r="F49" s="126" t="s">
        <v>139</v>
      </c>
      <c r="G49" s="126" t="s">
        <v>352</v>
      </c>
      <c r="H49" s="126" t="s">
        <v>141</v>
      </c>
    </row>
    <row r="50" spans="8:8" ht="19.5" customHeight="1">
      <c r="A50" s="125">
        <v>21.0</v>
      </c>
      <c r="B50" s="126" t="s">
        <v>103</v>
      </c>
      <c r="C50" s="167">
        <v>46222.0</v>
      </c>
      <c r="D50" s="168">
        <v>0.875</v>
      </c>
      <c r="E50" s="126" t="s">
        <v>353</v>
      </c>
      <c r="F50" s="126" t="s">
        <v>143</v>
      </c>
      <c r="G50" s="126" t="s">
        <v>354</v>
      </c>
      <c r="H50" s="126" t="s">
        <v>141</v>
      </c>
    </row>
    <row r="51" spans="8:8" ht="19.5" customHeight="1">
      <c r="A51" s="125">
        <v>22.0</v>
      </c>
      <c r="B51" s="126" t="s">
        <v>116</v>
      </c>
      <c r="C51" s="169">
        <v>46223.0</v>
      </c>
      <c r="D51" s="170">
        <v>0.75</v>
      </c>
      <c r="E51" s="126" t="s">
        <v>355</v>
      </c>
      <c r="F51" s="126" t="s">
        <v>143</v>
      </c>
      <c r="G51" s="126" t="s">
        <v>356</v>
      </c>
      <c r="H51" s="126" t="s">
        <v>141</v>
      </c>
    </row>
    <row r="52" spans="8:8" ht="19.5" customHeight="1">
      <c r="A52" s="125">
        <v>23.0</v>
      </c>
      <c r="B52" s="126" t="s">
        <v>116</v>
      </c>
      <c r="C52" s="171">
        <v>46223.0</v>
      </c>
      <c r="D52" s="172">
        <v>0.84375</v>
      </c>
      <c r="E52" s="126" t="s">
        <v>357</v>
      </c>
      <c r="F52" s="126" t="s">
        <v>143</v>
      </c>
      <c r="G52" s="126" t="s">
        <v>358</v>
      </c>
      <c r="H52" s="126" t="s">
        <v>141</v>
      </c>
    </row>
    <row r="53" spans="8:8" ht="19.5" customHeight="1">
      <c r="A53" s="125">
        <v>24.0</v>
      </c>
      <c r="B53" s="126" t="s">
        <v>127</v>
      </c>
      <c r="C53" s="173">
        <v>46224.0</v>
      </c>
      <c r="D53" s="174">
        <v>0.7291666666666667</v>
      </c>
      <c r="E53" s="126" t="s">
        <v>359</v>
      </c>
      <c r="F53" s="126" t="s">
        <v>143</v>
      </c>
      <c r="G53" s="126" t="s">
        <v>358</v>
      </c>
      <c r="H53" s="126" t="s">
        <v>141</v>
      </c>
    </row>
    <row r="54" spans="8:8" ht="19.5" customHeight="1">
      <c r="A54" s="125">
        <v>25.0</v>
      </c>
      <c r="B54" s="126" t="s">
        <v>122</v>
      </c>
      <c r="C54" s="175">
        <v>46224.0</v>
      </c>
      <c r="D54" s="176">
        <v>0.75</v>
      </c>
      <c r="E54" s="126" t="s">
        <v>360</v>
      </c>
      <c r="F54" s="126" t="s">
        <v>139</v>
      </c>
      <c r="G54" s="126" t="s">
        <v>361</v>
      </c>
      <c r="H54" s="126" t="s">
        <v>141</v>
      </c>
    </row>
    <row r="55" spans="8:8" ht="19.5" customHeight="1">
      <c r="A55" s="125">
        <v>26.0</v>
      </c>
      <c r="B55" s="126" t="s">
        <v>103</v>
      </c>
      <c r="C55" s="177">
        <v>46224.0</v>
      </c>
      <c r="D55" s="178">
        <v>0.7916666666666666</v>
      </c>
      <c r="E55" s="126" t="s">
        <v>362</v>
      </c>
      <c r="F55" s="126" t="s">
        <v>143</v>
      </c>
      <c r="G55" s="126" t="s">
        <v>363</v>
      </c>
      <c r="H55" s="126" t="s">
        <v>141</v>
      </c>
    </row>
    <row r="56" spans="8:8" ht="19.5" customHeight="1">
      <c r="A56" s="125">
        <v>27.0</v>
      </c>
      <c r="B56" s="126" t="s">
        <v>116</v>
      </c>
      <c r="C56" s="179">
        <v>46225.0</v>
      </c>
      <c r="D56" s="180">
        <v>0.7291666666666667</v>
      </c>
      <c r="E56" s="126" t="s">
        <v>364</v>
      </c>
      <c r="F56" s="126" t="s">
        <v>143</v>
      </c>
      <c r="G56" s="126" t="s">
        <v>365</v>
      </c>
      <c r="H56" s="126" t="s">
        <v>141</v>
      </c>
    </row>
    <row r="57" spans="8:8" ht="19.5" customHeight="1">
      <c r="A57" s="125">
        <v>28.0</v>
      </c>
      <c r="B57" s="126" t="s">
        <v>112</v>
      </c>
      <c r="C57" s="181">
        <v>46225.0</v>
      </c>
      <c r="D57" s="182">
        <v>0.9583333333333334</v>
      </c>
      <c r="E57" s="126" t="s">
        <v>366</v>
      </c>
      <c r="F57" s="126" t="s">
        <v>143</v>
      </c>
      <c r="G57" s="126" t="s">
        <v>367</v>
      </c>
      <c r="H57" s="126" t="s">
        <v>141</v>
      </c>
    </row>
    <row r="58" spans="8:8" ht="19.5" customHeight="1">
      <c r="A58" s="125">
        <v>29.0</v>
      </c>
      <c r="B58" s="126" t="s">
        <v>122</v>
      </c>
      <c r="C58" s="183">
        <v>46226.0</v>
      </c>
      <c r="D58" s="184">
        <v>0.3333333333333333</v>
      </c>
      <c r="E58" s="185" t="s">
        <v>371</v>
      </c>
      <c r="F58" s="126" t="s">
        <v>139</v>
      </c>
      <c r="G58" s="126" t="s">
        <v>370</v>
      </c>
      <c r="H58" s="126" t="s">
        <v>141</v>
      </c>
    </row>
    <row r="59" spans="8:8" ht="19.5" customHeight="1">
      <c r="A59" s="125">
        <v>30.0</v>
      </c>
      <c r="B59" s="126" t="s">
        <v>122</v>
      </c>
      <c r="C59" s="186">
        <v>46226.0</v>
      </c>
      <c r="D59" s="187">
        <v>0.4166666666666667</v>
      </c>
      <c r="E59" s="126" t="s">
        <v>368</v>
      </c>
      <c r="F59" s="126" t="s">
        <v>143</v>
      </c>
      <c r="G59" s="126" t="s">
        <v>369</v>
      </c>
      <c r="H59" s="126" t="s">
        <v>141</v>
      </c>
    </row>
  </sheetData>
  <mergeCells count="3">
    <mergeCell ref="A1:H2"/>
    <mergeCell ref="A27:H28"/>
    <mergeCell ref="J29:K29"/>
  </mergeCells>
  <conditionalFormatting sqref="K34">
    <cfRule type="cellIs" operator="lessThan" priority="3" dxfId="13">
      <formula>1</formula>
    </cfRule>
    <cfRule type="cellIs" operator="greaterThanOrEqual" priority="2" dxfId="14">
      <formula>1</formula>
    </cfRule>
  </conditionalFormatting>
  <dataValidations count="2">
    <dataValidation allowBlank="1" type="list" errorStyle="stop" sqref="B30:B59">
      <formula1>"Images,Videos,User-Generated Content (UGC),Carousels,How-to Guides/Tutorials,Infographics,Live Videos,Memes,Motivational/Inspirational content,Polls and Surveys,Behind-the-Scenes,Product Spotlight,Case Studies/Testimonials,Industry News/Updates,Infotainme"</formula1>
      <formula2>0</formula2>
    </dataValidation>
    <dataValidation allowBlank="1" type="list" errorStyle="stop" sqref="F30:F59">
      <formula1>"Visual Creative,Copywriting Creative,Video Creative,Audio Creative,Interactive Creative,Social Media Creative,Print Creative,Motion Graphics Creative,UI/UX Creative"</formula1>
      <formula2>0</formula2>
    </dataValidation>
  </dataValidations>
  <hyperlinks>
    <hyperlink ref="G4" r:id="rId1"/>
    <hyperlink ref="H26" r:id="rId2"/>
  </hyperlinks>
  <pageMargins left="0.7" right="0.7" top="0.75" bottom="0.75" header="0.511811023622047" footer="0.511811023622047"/>
</worksheet>
</file>

<file path=xl/worksheets/sheet10.xml><?xml version="1.0" encoding="utf-8"?>
<worksheet xmlns:r="http://schemas.openxmlformats.org/officeDocument/2006/relationships" xmlns="http://schemas.openxmlformats.org/spreadsheetml/2006/main">
  <dimension ref="A1:EN36"/>
  <sheetViews>
    <sheetView workbookViewId="0" topLeftCell="C32" zoomScale="30">
      <selection activeCell="E35" sqref="E35"/>
    </sheetView>
  </sheetViews>
  <sheetFormatPr defaultRowHeight="12.5" defaultColWidth="14"/>
  <cols>
    <col min="1" max="1" customWidth="1" width="14.453125" style="188"/>
    <col min="2" max="2" customWidth="1" width="14.453125" style="189"/>
    <col min="3" max="3" customWidth="1" width="72.28125" style="189"/>
    <col min="4" max="4" customWidth="1" width="60.90625" style="189"/>
    <col min="5" max="5" customWidth="1" width="63.632812" style="189"/>
    <col min="6" max="16384" customWidth="0" width="14.0" style="188"/>
  </cols>
  <sheetData>
    <row r="1" spans="8:8" s="189" ht="15.0" customFormat="1" customHeight="1">
      <c r="A1" s="190" t="s">
        <v>150</v>
      </c>
      <c r="B1" s="190" t="s">
        <v>97</v>
      </c>
      <c r="C1" s="190" t="s">
        <v>98</v>
      </c>
      <c r="D1" s="190" t="s">
        <v>151</v>
      </c>
      <c r="E1" s="190" t="s">
        <v>152</v>
      </c>
      <c r="F1" s="191" t="s">
        <v>153</v>
      </c>
    </row>
    <row r="2" spans="8:8" ht="126.0" customHeight="1">
      <c r="A2" s="188" t="s">
        <v>154</v>
      </c>
      <c r="B2" s="192">
        <v>45085.0</v>
      </c>
      <c r="C2" s="189" t="s">
        <v>155</v>
      </c>
      <c r="D2" s="120" t="s">
        <v>142</v>
      </c>
      <c r="E2" s="193" t="s">
        <v>156</v>
      </c>
      <c r="F2" s="194" t="s">
        <v>157</v>
      </c>
    </row>
    <row r="3" spans="8:8" ht="15.75" customHeight="1">
      <c r="A3" s="195" t="s">
        <v>158</v>
      </c>
      <c r="B3" s="195"/>
      <c r="C3" s="195"/>
      <c r="D3" s="195"/>
      <c r="E3" s="195"/>
      <c r="F3" s="195"/>
    </row>
    <row r="4" spans="8:8" ht="15.75" customHeight="1">
      <c r="A4" s="195"/>
      <c r="B4" s="195"/>
      <c r="C4" s="195"/>
      <c r="D4" s="195"/>
      <c r="E4" s="195"/>
      <c r="F4" s="195"/>
    </row>
    <row r="5" spans="8:8" ht="15.75" customHeight="1">
      <c r="A5" s="190" t="s">
        <v>150</v>
      </c>
      <c r="B5" s="190" t="s">
        <v>97</v>
      </c>
      <c r="C5" s="190" t="s">
        <v>98</v>
      </c>
      <c r="D5" s="190" t="s">
        <v>151</v>
      </c>
      <c r="E5" s="190" t="s">
        <v>152</v>
      </c>
      <c r="F5" s="191" t="s">
        <v>153</v>
      </c>
    </row>
    <row r="6" spans="8:8" ht="154.75">
      <c r="A6" s="188">
        <v>1.0</v>
      </c>
      <c r="B6" s="196">
        <v>46214.0</v>
      </c>
      <c r="C6" s="197">
        <v>0.7083333333333334</v>
      </c>
      <c r="D6" s="126" t="s">
        <v>307</v>
      </c>
      <c r="E6" s="198" t="s">
        <v>376</v>
      </c>
      <c r="F6" s="188" t="s">
        <v>310</v>
      </c>
    </row>
    <row r="7" spans="8:8" ht="262.45">
      <c r="A7" s="188">
        <v>1.0</v>
      </c>
      <c r="B7" s="199">
        <v>46214.0</v>
      </c>
      <c r="C7" s="200">
        <v>0.75</v>
      </c>
      <c r="D7" s="126" t="s">
        <v>315</v>
      </c>
      <c r="E7" s="201" t="s">
        <v>377</v>
      </c>
      <c r="F7" s="188" t="s">
        <v>310</v>
      </c>
    </row>
    <row r="8" spans="8:8" ht="298.35">
      <c r="A8" s="188">
        <v>2.0</v>
      </c>
      <c r="B8" s="202">
        <v>46215.0</v>
      </c>
      <c r="C8" s="203">
        <v>0.7083333333333334</v>
      </c>
      <c r="D8" s="126" t="s">
        <v>318</v>
      </c>
      <c r="E8" s="204" t="s">
        <v>378</v>
      </c>
      <c r="F8" s="188" t="s">
        <v>310</v>
      </c>
    </row>
    <row r="9" spans="8:8" ht="15.75" customHeight="1">
      <c r="A9" s="188">
        <v>2.0</v>
      </c>
      <c r="B9" s="205">
        <v>46215.0</v>
      </c>
      <c r="C9" s="206">
        <v>0.75</v>
      </c>
      <c r="D9" s="126" t="s">
        <v>319</v>
      </c>
      <c r="E9" s="207" t="s">
        <v>379</v>
      </c>
      <c r="F9" s="188" t="s">
        <v>310</v>
      </c>
      <c r="G9" s="208"/>
    </row>
    <row r="10" spans="8:8" ht="130.8">
      <c r="A10" s="188">
        <v>3.0</v>
      </c>
      <c r="B10" s="209">
        <v>46216.0</v>
      </c>
      <c r="C10" s="210">
        <v>0.7083333333333334</v>
      </c>
      <c r="D10" s="126" t="s">
        <v>321</v>
      </c>
      <c r="E10" s="211" t="s">
        <v>380</v>
      </c>
      <c r="F10" s="188" t="s">
        <v>310</v>
      </c>
    </row>
    <row r="11" spans="8:8" ht="322.3">
      <c r="A11" s="188">
        <v>3.0</v>
      </c>
      <c r="B11" s="212">
        <v>46216.0</v>
      </c>
      <c r="C11" s="213">
        <v>0.75</v>
      </c>
      <c r="D11" s="126" t="s">
        <v>323</v>
      </c>
      <c r="E11" s="211" t="s">
        <v>381</v>
      </c>
      <c r="F11" s="188" t="s">
        <v>310</v>
      </c>
    </row>
    <row r="12" spans="8:8" ht="82.95">
      <c r="A12" s="188">
        <v>4.0</v>
      </c>
      <c r="B12" s="214">
        <v>46217.0</v>
      </c>
      <c r="C12" s="215">
        <v>0.7083333333333334</v>
      </c>
      <c r="D12" s="126" t="s">
        <v>325</v>
      </c>
      <c r="E12" s="216" t="s">
        <v>382</v>
      </c>
      <c r="F12" s="188" t="s">
        <v>310</v>
      </c>
    </row>
    <row r="13" spans="8:8" ht="310.3">
      <c r="A13" s="188">
        <v>4.0</v>
      </c>
      <c r="B13" s="217">
        <v>46217.0</v>
      </c>
      <c r="C13" s="218">
        <v>0.75</v>
      </c>
      <c r="D13" s="126" t="s">
        <v>327</v>
      </c>
      <c r="E13" s="216" t="s">
        <v>383</v>
      </c>
      <c r="F13" s="188" t="s">
        <v>310</v>
      </c>
    </row>
    <row r="14" spans="8:8" ht="291.1" customHeight="1">
      <c r="A14" s="188">
        <v>5.0</v>
      </c>
      <c r="B14" s="219">
        <v>46218.0</v>
      </c>
      <c r="C14" s="220">
        <v>0.7083333333333334</v>
      </c>
      <c r="D14" s="126" t="s">
        <v>329</v>
      </c>
      <c r="E14" s="216" t="s">
        <v>384</v>
      </c>
      <c r="F14" s="188" t="s">
        <v>310</v>
      </c>
    </row>
    <row r="15" spans="8:8" ht="71.0">
      <c r="A15" s="188">
        <v>5.0</v>
      </c>
      <c r="B15" s="221">
        <v>46218.0</v>
      </c>
      <c r="C15" s="222">
        <v>0.75</v>
      </c>
      <c r="D15" s="126" t="s">
        <v>331</v>
      </c>
      <c r="E15" s="223" t="s">
        <v>385</v>
      </c>
      <c r="F15" s="188" t="s">
        <v>310</v>
      </c>
    </row>
    <row r="16" spans="8:8" ht="142.8">
      <c r="A16" s="188">
        <v>5.0</v>
      </c>
      <c r="B16" s="224">
        <v>46218.0</v>
      </c>
      <c r="C16" s="225">
        <v>0.7916666666666666</v>
      </c>
      <c r="D16" s="126" t="s">
        <v>333</v>
      </c>
      <c r="E16" s="226" t="s">
        <v>390</v>
      </c>
      <c r="F16" s="188" t="s">
        <v>310</v>
      </c>
    </row>
    <row r="17" spans="8:8" ht="190.65">
      <c r="A17" s="188">
        <v>6.0</v>
      </c>
      <c r="B17" s="227">
        <v>46219.0</v>
      </c>
      <c r="C17" s="228">
        <v>0.7083333333333334</v>
      </c>
      <c r="D17" s="126" t="s">
        <v>335</v>
      </c>
      <c r="E17" s="223" t="s">
        <v>386</v>
      </c>
      <c r="F17" s="188" t="s">
        <v>310</v>
      </c>
    </row>
    <row r="18" spans="8:8" ht="166.7">
      <c r="A18" s="188">
        <v>6.0</v>
      </c>
      <c r="B18" s="229">
        <v>46219.0</v>
      </c>
      <c r="C18" s="230">
        <v>0.75</v>
      </c>
      <c r="D18" s="126" t="s">
        <v>337</v>
      </c>
      <c r="E18" s="231" t="s">
        <v>387</v>
      </c>
      <c r="F18" s="188" t="s">
        <v>310</v>
      </c>
    </row>
    <row r="19" spans="8:8" ht="298.35">
      <c r="A19" s="188">
        <v>6.0</v>
      </c>
      <c r="B19" s="232">
        <v>46219.0</v>
      </c>
      <c r="C19" s="233">
        <v>0.7916666666666666</v>
      </c>
      <c r="D19" s="126" t="s">
        <v>339</v>
      </c>
      <c r="E19" s="226" t="s">
        <v>389</v>
      </c>
      <c r="F19" s="188" t="s">
        <v>310</v>
      </c>
    </row>
    <row r="20" spans="8:8" ht="130.8">
      <c r="A20" s="188">
        <v>7.0</v>
      </c>
      <c r="B20" s="234">
        <v>46220.0</v>
      </c>
      <c r="C20" s="235">
        <v>0.75</v>
      </c>
      <c r="D20" s="126" t="s">
        <v>341</v>
      </c>
      <c r="E20" s="226" t="s">
        <v>388</v>
      </c>
      <c r="F20" s="188" t="s">
        <v>310</v>
      </c>
    </row>
    <row r="21" spans="8:8" ht="190.65">
      <c r="A21" s="188">
        <v>7.0</v>
      </c>
      <c r="B21" s="236">
        <v>46220.0</v>
      </c>
      <c r="C21" s="237">
        <v>0.8125</v>
      </c>
      <c r="D21" s="126" t="s">
        <v>343</v>
      </c>
      <c r="E21" s="238" t="s">
        <v>391</v>
      </c>
      <c r="F21" s="188" t="s">
        <v>310</v>
      </c>
    </row>
    <row r="22" spans="8:8" ht="178.7">
      <c r="A22" s="188">
        <v>8.0</v>
      </c>
      <c r="B22" s="239">
        <v>46221.0</v>
      </c>
      <c r="C22" s="240">
        <v>0.7291666666666667</v>
      </c>
      <c r="D22" s="126" t="s">
        <v>345</v>
      </c>
      <c r="E22" s="238" t="s">
        <v>392</v>
      </c>
      <c r="F22" s="188" t="s">
        <v>310</v>
      </c>
    </row>
    <row r="23" spans="8:8" ht="202.6">
      <c r="A23" s="188">
        <v>8.0</v>
      </c>
      <c r="B23" s="241">
        <v>46221.0</v>
      </c>
      <c r="C23" s="242">
        <v>0.75</v>
      </c>
      <c r="D23" s="126" t="s">
        <v>347</v>
      </c>
      <c r="E23" s="238" t="s">
        <v>393</v>
      </c>
      <c r="F23" s="188" t="s">
        <v>310</v>
      </c>
    </row>
    <row r="24" spans="8:8" ht="106.9">
      <c r="A24" s="188">
        <v>9.0</v>
      </c>
      <c r="B24" s="243">
        <v>46222.0</v>
      </c>
      <c r="C24" s="244">
        <v>0.7916666666666666</v>
      </c>
      <c r="D24" s="126" t="s">
        <v>349</v>
      </c>
      <c r="E24" s="245" t="s">
        <v>394</v>
      </c>
      <c r="F24" s="188" t="s">
        <v>310</v>
      </c>
    </row>
    <row r="25" spans="8:8" ht="190.65">
      <c r="A25" s="188">
        <v>9.0</v>
      </c>
      <c r="B25" s="246">
        <v>46222.0</v>
      </c>
      <c r="C25" s="247">
        <v>0.8333333333333334</v>
      </c>
      <c r="D25" s="126" t="s">
        <v>351</v>
      </c>
      <c r="E25" s="245" t="s">
        <v>395</v>
      </c>
      <c r="F25" s="188" t="s">
        <v>310</v>
      </c>
    </row>
    <row r="26" spans="8:8" ht="94.9">
      <c r="A26" s="188">
        <v>9.0</v>
      </c>
      <c r="B26" s="248">
        <v>46222.0</v>
      </c>
      <c r="C26" s="249">
        <v>0.875</v>
      </c>
      <c r="D26" s="126" t="s">
        <v>353</v>
      </c>
      <c r="E26" s="245" t="s">
        <v>396</v>
      </c>
      <c r="F26" s="188" t="s">
        <v>310</v>
      </c>
    </row>
    <row r="27" spans="8:8" ht="190.65">
      <c r="A27" s="188">
        <v>10.0</v>
      </c>
      <c r="B27" s="250">
        <v>46223.0</v>
      </c>
      <c r="C27" s="251">
        <v>0.75</v>
      </c>
      <c r="D27" s="126" t="s">
        <v>355</v>
      </c>
      <c r="E27" s="252" t="s">
        <v>397</v>
      </c>
      <c r="F27" s="188" t="s">
        <v>310</v>
      </c>
    </row>
    <row r="28" spans="8:8" ht="238.5">
      <c r="A28" s="188">
        <v>10.0</v>
      </c>
      <c r="B28" s="253">
        <v>46223.0</v>
      </c>
      <c r="C28" s="254">
        <v>0.84375</v>
      </c>
      <c r="D28" s="126" t="s">
        <v>357</v>
      </c>
      <c r="E28" s="216" t="s">
        <v>398</v>
      </c>
      <c r="F28" s="188" t="s">
        <v>310</v>
      </c>
    </row>
    <row r="29" spans="8:8" ht="178.7">
      <c r="A29" s="188">
        <v>11.0</v>
      </c>
      <c r="B29" s="255">
        <v>46224.0</v>
      </c>
      <c r="C29" s="256">
        <v>0.7291666666666667</v>
      </c>
      <c r="D29" s="126" t="s">
        <v>359</v>
      </c>
      <c r="E29" s="216" t="s">
        <v>399</v>
      </c>
      <c r="F29" s="188" t="s">
        <v>310</v>
      </c>
    </row>
    <row r="30" spans="8:8" ht="118.85">
      <c r="A30" s="188">
        <v>11.0</v>
      </c>
      <c r="B30" s="257">
        <v>46224.0</v>
      </c>
      <c r="C30" s="258">
        <v>0.75</v>
      </c>
      <c r="D30" s="126" t="s">
        <v>360</v>
      </c>
      <c r="E30" s="259" t="s">
        <v>400</v>
      </c>
      <c r="F30" s="188" t="s">
        <v>310</v>
      </c>
    </row>
    <row r="31" spans="8:8" ht="154.75">
      <c r="A31" s="188">
        <v>11.0</v>
      </c>
      <c r="B31" s="260">
        <v>46224.0</v>
      </c>
      <c r="C31" s="261">
        <v>0.7916666666666666</v>
      </c>
      <c r="D31" s="126" t="s">
        <v>362</v>
      </c>
      <c r="E31" s="259" t="s">
        <v>401</v>
      </c>
      <c r="F31" s="188" t="s">
        <v>310</v>
      </c>
    </row>
    <row r="32" spans="8:8" ht="166.7">
      <c r="A32" s="188">
        <v>12.0</v>
      </c>
      <c r="B32" s="262">
        <v>46225.0</v>
      </c>
      <c r="C32" s="263">
        <v>0.7291666666666667</v>
      </c>
      <c r="D32" s="126" t="s">
        <v>364</v>
      </c>
      <c r="E32" s="259" t="s">
        <v>402</v>
      </c>
      <c r="F32" s="188" t="s">
        <v>310</v>
      </c>
    </row>
    <row r="33" spans="8:8" ht="178.7">
      <c r="A33" s="188">
        <v>12.0</v>
      </c>
      <c r="B33" s="264">
        <v>46225.0</v>
      </c>
      <c r="C33" s="265">
        <v>0.9583333333333334</v>
      </c>
      <c r="D33" s="126" t="s">
        <v>366</v>
      </c>
      <c r="E33" s="259" t="s">
        <v>403</v>
      </c>
      <c r="F33" s="188" t="s">
        <v>310</v>
      </c>
    </row>
    <row r="34" spans="8:8" ht="409.0">
      <c r="A34" s="188">
        <v>13.0</v>
      </c>
      <c r="B34" s="266">
        <v>46226.0</v>
      </c>
      <c r="C34" s="267">
        <v>0.3333333333333333</v>
      </c>
      <c r="D34" s="185" t="s">
        <v>371</v>
      </c>
      <c r="E34" s="259" t="s">
        <v>404</v>
      </c>
      <c r="F34" s="188" t="s">
        <v>310</v>
      </c>
    </row>
    <row r="35" spans="8:8" ht="286.4">
      <c r="A35" s="188">
        <v>13.0</v>
      </c>
      <c r="B35" s="268">
        <v>46226.0</v>
      </c>
      <c r="C35" s="269">
        <v>0.4166666666666667</v>
      </c>
      <c r="D35" s="126" t="s">
        <v>368</v>
      </c>
      <c r="E35" s="259" t="s">
        <v>405</v>
      </c>
      <c r="F35" s="188" t="s">
        <v>310</v>
      </c>
    </row>
    <row r="36" spans="8:8" ht="14.0">
      <c r="A36" s="188"/>
    </row>
  </sheetData>
  <mergeCells count="1">
    <mergeCell ref="A3:F4"/>
  </mergeCells>
  <conditionalFormatting sqref="F6:F39">
    <cfRule type="cellIs" operator="equal" priority="2" dxfId="15">
      <formula>"Published"</formula>
    </cfRule>
    <cfRule type="cellIs" operator="equal" priority="6" dxfId="16">
      <formula>"Scheduled"</formula>
    </cfRule>
    <cfRule type="cellIs" operator="equal" priority="3" dxfId="17">
      <formula>"Not Started"</formula>
    </cfRule>
    <cfRule type="cellIs" operator="equal" priority="4" dxfId="18">
      <formula>"In Progress"</formula>
    </cfRule>
    <cfRule type="cellIs" operator="equal" priority="5" dxfId="19">
      <formula>"Ready"</formula>
    </cfRule>
  </conditionalFormatting>
  <dataValidations count="1">
    <dataValidation allowBlank="1" type="list" errorStyle="stop" sqref="F6:F39">
      <formula1>"Not Started,In Progress,Ready,Scheduled,Published"</formula1>
      <formula2>0</formula2>
    </dataValidation>
  </dataValidations>
  <hyperlinks>
    <hyperlink ref="E2" r:id="rId1"/>
    <hyperlink ref="E6" r:id="rId2"/>
    <hyperlink ref="E7" r:id="rId3"/>
    <hyperlink ref="E8" r:id="rId4"/>
    <hyperlink ref="E9" r:id="rId5"/>
    <hyperlink ref="E10" r:id="rId6"/>
    <hyperlink ref="E11" r:id="rId7"/>
    <hyperlink ref="E12" r:id="rId8"/>
    <hyperlink ref="E13" r:id="rId9"/>
    <hyperlink ref="E14" r:id="rId10"/>
    <hyperlink ref="E15" r:id="rId11"/>
    <hyperlink ref="E17" r:id="rId12"/>
    <hyperlink ref="E18" r:id="rId13"/>
    <hyperlink ref="E20" r:id="rId14"/>
    <hyperlink ref="E19" r:id="rId15"/>
    <hyperlink ref="E16" r:id="rId16"/>
    <hyperlink ref="E21" r:id="rId17"/>
    <hyperlink ref="E22" r:id="rId18"/>
    <hyperlink ref="E23" r:id="rId19"/>
    <hyperlink ref="E24" r:id="rId20"/>
    <hyperlink ref="E25" r:id="rId21"/>
    <hyperlink ref="E26" r:id="rId22"/>
    <hyperlink ref="E27" r:id="rId23"/>
    <hyperlink ref="E28" r:id="rId24"/>
    <hyperlink ref="E29" r:id="rId25"/>
    <hyperlink ref="E30" r:id="rId26"/>
    <hyperlink ref="E31" r:id="rId27"/>
    <hyperlink ref="E32" r:id="rId28"/>
    <hyperlink ref="E33" r:id="rId29"/>
    <hyperlink ref="E34" r:id="rId30"/>
    <hyperlink ref="E35" r:id="rId31"/>
  </hyperlinks>
  <pageMargins left="0.75" right="0.75" top="1.0" bottom="1.0" header="0.511811023622047" footer="0.511811023622047"/>
</worksheet>
</file>

<file path=docProps/app.xml><?xml version="1.0" encoding="utf-8"?>
<Properties xmlns="http://schemas.openxmlformats.org/officeDocument/2006/extended-properties">
  <Application>Kingsoft Office</Application>
  <DocSecurity>0</DocSecurity>
  <ScaleCrop>0</ScaleCrop>
  <LinksUpToDate>0</LinksUpToDate>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geetha pratyusha</cp:lastModifiedBy>
  <dcterms:created xsi:type="dcterms:W3CDTF">2024-12-28T02:11:01Z</dcterms:created>
  <dcterms:modified xsi:type="dcterms:W3CDTF">2026-07-23T09:22:07Z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c6122ce4a7ea471b8a19db7a3002621d</vt:lpwstr>
  </property>
</Properties>
</file>